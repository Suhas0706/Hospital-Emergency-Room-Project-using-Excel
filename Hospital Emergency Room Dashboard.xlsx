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2001_{E56903C0-AE41-44D9-B764-71D2A6EE2CE1}" xr6:coauthVersionLast="47" xr6:coauthVersionMax="47" xr10:uidLastSave="{00000000-0000-0000-0000-000000000000}"/>
  <bookViews>
    <workbookView xWindow="-120" yWindow="-120" windowWidth="24240" windowHeight="13140" activeTab="1" xr2:uid="{28F08392-C18F-4D97-A640-D87BA9342EAD}"/>
  </bookViews>
  <sheets>
    <sheet name="Pivot Report" sheetId="1" r:id="rId1"/>
    <sheet name="Dashboard" sheetId="4" r:id="rId2"/>
    <sheet name="Daily ER No of Patient" sheetId="5" r:id="rId3"/>
    <sheet name="Average wait time daily trend" sheetId="6" r:id="rId4"/>
    <sheet name="Satisfaction score daily trends" sheetId="8" r:id="rId5"/>
  </sheets>
  <definedNames>
    <definedName name="Slicer_Date__Month">#N/A</definedName>
    <definedName name="Slicer_Date__Year">#N/A</definedName>
  </definedNames>
  <calcPr calcId="191029"/>
  <pivotCaches>
    <pivotCache cacheId="1802" r:id="rId6"/>
    <pivotCache cacheId="1805" r:id="rId7"/>
    <pivotCache cacheId="1808" r:id="rId8"/>
    <pivotCache cacheId="1811" r:id="rId9"/>
    <pivotCache cacheId="1814" r:id="rId10"/>
    <pivotCache cacheId="1817" r:id="rId11"/>
    <pivotCache cacheId="1820" r:id="rId12"/>
    <pivotCache cacheId="1823" r:id="rId13"/>
    <pivotCache cacheId="1826" r:id="rId14"/>
    <pivotCache cacheId="1829" r:id="rId15"/>
    <pivotCache cacheId="1832" r:id="rId16"/>
    <pivotCache cacheId="1835" r:id="rId17"/>
  </pivotCaches>
  <fileRecoveryPr repairLoad="1"/>
  <extLst>
    <ext xmlns:x14="http://schemas.microsoft.com/office/spreadsheetml/2009/9/main" uri="{876F7934-8845-4945-9796-88D515C7AA90}">
      <x14:pivotCaches>
        <pivotCache cacheId="107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00716a6-ae15-4f9a-8016-3965df81f945" name="Hospital Emergency Room Data" connection="Query - Hospital Emergency Room Data"/>
          <x15:modelTable id="Calender_Table_1b6e2974-cb05-4fb5-b04e-da26a509a364"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E43" i="1" l="1"/>
  <c r="F43" i="1"/>
  <c r="G43" i="1"/>
  <c r="E44" i="1"/>
  <c r="F44" i="1"/>
  <c r="G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6A6CF1-8BA3-41F0-BF31-AF65CE95AF4A}" name="Query - Calender_Table" description="Connection to the 'Calender_Table' query in the workbook." type="100" refreshedVersion="8" minRefreshableVersion="5">
    <extLst>
      <ext xmlns:x15="http://schemas.microsoft.com/office/spreadsheetml/2010/11/main" uri="{DE250136-89BD-433C-8126-D09CA5730AF9}">
        <x15:connection id="251bdc3f-f4e1-4a49-9931-e508d96a4dea"/>
      </ext>
    </extLst>
  </connection>
  <connection id="2" xr16:uid="{F8748156-8842-4A0C-89CA-78C6704CA82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5dfe55f-aa75-47a5-8563-fb4b41bd75be"/>
      </ext>
    </extLst>
  </connection>
  <connection id="3" xr16:uid="{EC2AC54C-2F9A-494A-B5F0-B65F33C779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<sst xmlns="http://schemas.openxmlformats.org/spreadsheetml/2006/main" count="154" uniqueCount="78">
  <si>
    <t>Distinct Count of Patient Id</t>
  </si>
  <si>
    <t>No of Patient</t>
  </si>
  <si>
    <t>Average of Patient Waittime</t>
  </si>
  <si>
    <t>Avg. of Patient Waittime</t>
  </si>
  <si>
    <t>Average of Patient Satisfaction Score</t>
  </si>
  <si>
    <t>Row Labels</t>
  </si>
  <si>
    <t>Grand Total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</si>
  <si>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</si>
  <si>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</si>
  <si>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</si>
  <si>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</si>
  <si>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</si>
  <si>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</si>
  <si>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</si>
  <si>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</si>
  <si>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</si>
  <si>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</si>
  <si>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</si>
  <si>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</si>
  <si>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</si>
  <si>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</si>
  <si>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</si>
  <si>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</si>
  <si>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</si>
  <si>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</si>
  <si>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</si>
  <si>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</si>
  <si>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</si>
  <si>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</si>
  <si>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</si>
  <si>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</si>
  <si>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</si>
  <si>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</si>
  <si>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</si>
  <si>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</si>
  <si>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</si>
  <si>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</si>
  <si>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</si>
  <si>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&gt;      Showing a daily trend with an area sparkline to spot patterns like busy days or seasonal trends.</t>
  </si>
  <si>
    <t>average wait time</t>
  </si>
  <si>
    <t>daily trends of no of patients</t>
  </si>
  <si>
    <t>&gt; Use an area sparkline to track daily changes and highlight days with longer wait times that might need improvements</t>
  </si>
  <si>
    <t>Satisfaction Score daily trends</t>
  </si>
  <si>
    <t xml:space="preserve"> &gt; Use an area chart to show trends,spot drops in satisfaction ,and link them to busy times or challenges</t>
  </si>
  <si>
    <t>Count of Patient Admission Flag</t>
  </si>
  <si>
    <t>Admitted</t>
  </si>
  <si>
    <t>Not Admitted</t>
  </si>
  <si>
    <t>Male</t>
  </si>
  <si>
    <t>None</t>
  </si>
  <si>
    <t>30-39</t>
  </si>
  <si>
    <t>Delay</t>
  </si>
  <si>
    <t>20-29</t>
  </si>
  <si>
    <t>40-49</t>
  </si>
  <si>
    <t>Ontime</t>
  </si>
  <si>
    <t>60-69</t>
  </si>
  <si>
    <t>10-19</t>
  </si>
  <si>
    <t>50-59</t>
  </si>
  <si>
    <t>Female</t>
  </si>
  <si>
    <t>10-09</t>
  </si>
  <si>
    <t>70-79</t>
  </si>
  <si>
    <t>General Practice</t>
  </si>
  <si>
    <t>Orthopedics</t>
  </si>
  <si>
    <t>Physiotherapy</t>
  </si>
  <si>
    <t>Cardiology</t>
  </si>
  <si>
    <t>Neurology</t>
  </si>
  <si>
    <t>Gastroenterology</t>
  </si>
  <si>
    <t>Renal</t>
  </si>
  <si>
    <t>Count of Patient Admission Flag2</t>
  </si>
  <si>
    <t>Admission Status</t>
  </si>
  <si>
    <t>No. of Patients</t>
  </si>
  <si>
    <t>% Status</t>
  </si>
  <si>
    <t>Count of Age Group</t>
  </si>
  <si>
    <t>age group wise analysis</t>
  </si>
  <si>
    <t>Count of Patient attend Status</t>
  </si>
  <si>
    <t>Attended Status</t>
  </si>
  <si>
    <t>Count of Patient Gender</t>
  </si>
  <si>
    <t>Gender wise Analysis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</si>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</sst>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NumberFormat="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3" fillId="4" borderId="0" xfId="0" applyFont="1" applyFill="1"/>
    <xf numFmtId="0" fontId="4" fillId="0" borderId="0" xfId="0" applyFont="1"/>
    <xf numFmtId="1" fontId="0" fillId="0" borderId="0" xfId="0" applyNumberFormat="1"/>
    <xf numFmtId="10" fontId="0" fillId="0" borderId="0" xfId="0" applyNumberFormat="1"/>
    <xf numFmtId="9" fontId="0" fillId="4" borderId="0" xfId="1" applyFont="1" applyFill="1"/>
    <xf numFmtId="0" fontId="0" fillId="5" borderId="0" xfId="0" applyFill="1"/>
    <xf numFmtId="0" fontId="0" fillId="6" borderId="0" xfId="0" applyFill="1"/>
  </cellXfs>
  <cellStyles count="2">
    <cellStyle name="Normal" xfId="0" builtinId="0"/>
    <cellStyle name="Percent" xfId="1" builtinId="5"/>
  </cellStyles>
  <dxfs count="356">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EB4C3535-715A-4A3C-B9C1-84047689CE15}">
      <tableStyleElement type="wholeTable" dxfId="353"/>
      <tableStyleElement type="headerRow" dxfId="35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xForSave val="1"/>
            </c:ext>
          </c:extLst>
        </c:dLbl>
      </c:pivotFmt>
    </c:pivotFmts>
    <c:plotArea>
      <c:layout>
        <c:manualLayout>
          <c:layoutTarget val="inner"/>
          <c:xMode val="edge"/>
          <c:yMode val="edge"/>
          <c:x val="2.1827271591051099E-2"/>
          <c:y val="5.0987104872760473E-2"/>
          <c:w val="0.97166089238845155"/>
          <c:h val="0.86499960232243711"/>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cat>
            <c:strRef>
              <c:f>'Pivot Report'!$A$43:$A$45</c:f>
              <c:strCache>
                <c:ptCount val="2"/>
                <c:pt idx="0">
                  <c:v>Admitted</c:v>
                </c:pt>
                <c:pt idx="1">
                  <c:v>Not Admitted</c:v>
                </c:pt>
              </c:strCache>
            </c:strRef>
          </c:cat>
          <c:val>
            <c:numRef>
              <c:f>'Pivot Report'!$B$43:$B$45</c:f>
              <c:numCache>
                <c:formatCode>0</c:formatCode>
                <c:ptCount val="2"/>
                <c:pt idx="0">
                  <c:v>217</c:v>
                </c:pt>
                <c:pt idx="1">
                  <c:v>252</c:v>
                </c:pt>
              </c:numCache>
            </c:numRef>
          </c:val>
          <c:extLst>
            <c:ext xmlns:c16="http://schemas.microsoft.com/office/drawing/2014/chart" uri="{C3380CC4-5D6E-409C-BE32-E72D297353CC}">
              <c16:uniqueId val="{00000007-2701-4F4F-9BAE-F9BD34B388BB}"/>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0.46268656716417911</c:v>
                </c:pt>
                <c:pt idx="1">
                  <c:v>0.53731343283582089</c:v>
                </c:pt>
              </c:numCache>
            </c:numRef>
          </c:val>
          <c:extLst>
            <c:ext xmlns:c16="http://schemas.microsoft.com/office/drawing/2014/chart" uri="{C3380CC4-5D6E-409C-BE32-E72D297353CC}">
              <c16:uniqueId val="{00000008-2701-4F4F-9BAE-F9BD34B388BB}"/>
            </c:ext>
          </c:extLst>
        </c:ser>
        <c:dLbls>
          <c:showLegendKey val="0"/>
          <c:showVal val="0"/>
          <c:showCatName val="0"/>
          <c:showSerName val="0"/>
          <c:showPercent val="0"/>
          <c:showBubbleSize val="0"/>
        </c:dLbls>
        <c:gapWidth val="0"/>
        <c:overlap val="32"/>
        <c:axId val="680445432"/>
        <c:axId val="680445072"/>
      </c:barChart>
      <c:catAx>
        <c:axId val="680445432"/>
        <c:scaling>
          <c:orientation val="minMax"/>
        </c:scaling>
        <c:delete val="1"/>
        <c:axPos val="l"/>
        <c:numFmt formatCode="General" sourceLinked="1"/>
        <c:majorTickMark val="none"/>
        <c:minorTickMark val="none"/>
        <c:tickLblPos val="nextTo"/>
        <c:crossAx val="680445072"/>
        <c:crosses val="autoZero"/>
        <c:auto val="1"/>
        <c:lblAlgn val="ctr"/>
        <c:lblOffset val="100"/>
        <c:noMultiLvlLbl val="0"/>
      </c:catAx>
      <c:valAx>
        <c:axId val="680445072"/>
        <c:scaling>
          <c:orientation val="minMax"/>
        </c:scaling>
        <c:delete val="1"/>
        <c:axPos val="b"/>
        <c:numFmt formatCode="0" sourceLinked="1"/>
        <c:majorTickMark val="none"/>
        <c:minorTickMark val="none"/>
        <c:tickLblPos val="nextTo"/>
        <c:crossAx val="680445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44058084976597756"/>
          <c:w val="0.98888888888888893"/>
          <c:h val="0.32077118994411791"/>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Report'!$H$6:$H$36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3-68DF-4341-8440-A9EA34576677}"/>
            </c:ext>
          </c:extLst>
        </c:ser>
        <c:dLbls>
          <c:showLegendKey val="0"/>
          <c:showVal val="0"/>
          <c:showCatName val="0"/>
          <c:showSerName val="0"/>
          <c:showPercent val="0"/>
          <c:showBubbleSize val="0"/>
        </c:dLbls>
        <c:axId val="525726288"/>
        <c:axId val="525729888"/>
      </c:areaChart>
      <c:catAx>
        <c:axId val="525726288"/>
        <c:scaling>
          <c:orientation val="minMax"/>
        </c:scaling>
        <c:delete val="1"/>
        <c:axPos val="b"/>
        <c:numFmt formatCode="General" sourceLinked="1"/>
        <c:majorTickMark val="out"/>
        <c:minorTickMark val="none"/>
        <c:tickLblPos val="nextTo"/>
        <c:crossAx val="525729888"/>
        <c:crosses val="autoZero"/>
        <c:auto val="1"/>
        <c:lblAlgn val="ctr"/>
        <c:lblOffset val="100"/>
        <c:noMultiLvlLbl val="0"/>
      </c:catAx>
      <c:valAx>
        <c:axId val="525729888"/>
        <c:scaling>
          <c:orientation val="minMax"/>
        </c:scaling>
        <c:delete val="1"/>
        <c:axPos val="l"/>
        <c:numFmt formatCode="General" sourceLinked="1"/>
        <c:majorTickMark val="none"/>
        <c:minorTickMark val="none"/>
        <c:tickLblPos val="nextTo"/>
        <c:crossAx val="525726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28040244969382E-2"/>
          <c:y val="0.26467628512394231"/>
          <c:w val="0.9455720329133932"/>
          <c:h val="0.73532371487605763"/>
        </c:manualLayout>
      </c:layout>
      <c:areaChart>
        <c:grouping val="standard"/>
        <c:varyColors val="0"/>
        <c:ser>
          <c:idx val="0"/>
          <c:order val="0"/>
          <c:tx>
            <c:strRef>
              <c:f>'Pivot Report'!$L$6</c:f>
              <c:strCache>
                <c:ptCount val="1"/>
                <c:pt idx="0">
                  <c:v>Total</c:v>
                </c:pt>
              </c:strCache>
            </c:strRef>
          </c:tx>
          <c:spPr>
            <a:solidFill>
              <a:schemeClr val="accent1"/>
            </a:solidFill>
            <a:ln w="25400">
              <a:noFill/>
            </a:ln>
            <a:effectLst/>
          </c:spPr>
          <c:cat>
            <c:strRef>
              <c:f>'Pivot Report'!$K$7:$K$37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Report'!$L$7:$L$37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3-D06D-4EB2-BAE1-498FE71CE078}"/>
            </c:ext>
          </c:extLst>
        </c:ser>
        <c:dLbls>
          <c:showLegendKey val="0"/>
          <c:showVal val="0"/>
          <c:showCatName val="0"/>
          <c:showSerName val="0"/>
          <c:showPercent val="0"/>
          <c:showBubbleSize val="0"/>
        </c:dLbls>
        <c:axId val="448290160"/>
        <c:axId val="448290520"/>
      </c:areaChart>
      <c:catAx>
        <c:axId val="448290160"/>
        <c:scaling>
          <c:orientation val="minMax"/>
        </c:scaling>
        <c:delete val="1"/>
        <c:axPos val="b"/>
        <c:numFmt formatCode="General" sourceLinked="1"/>
        <c:majorTickMark val="out"/>
        <c:minorTickMark val="none"/>
        <c:tickLblPos val="nextTo"/>
        <c:crossAx val="448290520"/>
        <c:crosses val="autoZero"/>
        <c:auto val="1"/>
        <c:lblAlgn val="ctr"/>
        <c:lblOffset val="100"/>
        <c:noMultiLvlLbl val="0"/>
      </c:catAx>
      <c:valAx>
        <c:axId val="448290520"/>
        <c:scaling>
          <c:orientation val="minMax"/>
        </c:scaling>
        <c:delete val="1"/>
        <c:axPos val="l"/>
        <c:numFmt formatCode="0.00" sourceLinked="1"/>
        <c:majorTickMark val="none"/>
        <c:minorTickMark val="none"/>
        <c:tickLblPos val="nextTo"/>
        <c:crossAx val="448290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Report!PivotTable7</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67658450411572E-2"/>
          <c:y val="0"/>
          <c:w val="0.81767681118027258"/>
          <c:h val="1"/>
        </c:manualLayout>
      </c:layout>
      <c:areaChart>
        <c:grouping val="standard"/>
        <c:varyColors val="0"/>
        <c:ser>
          <c:idx val="0"/>
          <c:order val="0"/>
          <c:tx>
            <c:strRef>
              <c:f>'Pivot Report'!$O$6</c:f>
              <c:strCache>
                <c:ptCount val="1"/>
                <c:pt idx="0">
                  <c:v>Total</c:v>
                </c:pt>
              </c:strCache>
            </c:strRef>
          </c:tx>
          <c:spPr>
            <a:solidFill>
              <a:schemeClr val="accent1"/>
            </a:solidFill>
            <a:ln w="25400">
              <a:noFill/>
            </a:ln>
            <a:effectLst/>
          </c:spPr>
          <c:cat>
            <c:strRef>
              <c:f>'Pivot Report'!$N$7:$N$34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Report'!$O$7:$O$34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3-1192-4FAF-BDDB-ADF5F5957ECF}"/>
            </c:ext>
          </c:extLst>
        </c:ser>
        <c:dLbls>
          <c:showLegendKey val="0"/>
          <c:showVal val="0"/>
          <c:showCatName val="0"/>
          <c:showSerName val="0"/>
          <c:showPercent val="0"/>
          <c:showBubbleSize val="0"/>
        </c:dLbls>
        <c:axId val="891855832"/>
        <c:axId val="891862312"/>
      </c:areaChart>
      <c:catAx>
        <c:axId val="891855832"/>
        <c:scaling>
          <c:orientation val="minMax"/>
        </c:scaling>
        <c:delete val="1"/>
        <c:axPos val="b"/>
        <c:numFmt formatCode="General" sourceLinked="1"/>
        <c:majorTickMark val="out"/>
        <c:minorTickMark val="none"/>
        <c:tickLblPos val="nextTo"/>
        <c:crossAx val="891862312"/>
        <c:crosses val="autoZero"/>
        <c:auto val="1"/>
        <c:lblAlgn val="ctr"/>
        <c:lblOffset val="100"/>
        <c:noMultiLvlLbl val="0"/>
      </c:catAx>
      <c:valAx>
        <c:axId val="891862312"/>
        <c:scaling>
          <c:orientation val="minMax"/>
        </c:scaling>
        <c:delete val="1"/>
        <c:axPos val="l"/>
        <c:numFmt formatCode="0.00" sourceLinked="1"/>
        <c:majorTickMark val="none"/>
        <c:minorTickMark val="none"/>
        <c:tickLblPos val="nextTo"/>
        <c:crossAx val="8918558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10-09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3-8B38-4891-A7CC-6CBE7C63392F}"/>
            </c:ext>
          </c:extLst>
        </c:ser>
        <c:dLbls>
          <c:showLegendKey val="0"/>
          <c:showVal val="0"/>
          <c:showCatName val="0"/>
          <c:showSerName val="0"/>
          <c:showPercent val="0"/>
          <c:showBubbleSize val="0"/>
        </c:dLbls>
        <c:gapWidth val="219"/>
        <c:overlap val="-27"/>
        <c:axId val="893227472"/>
        <c:axId val="893225672"/>
      </c:barChart>
      <c:catAx>
        <c:axId val="8932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225672"/>
        <c:crosses val="autoZero"/>
        <c:auto val="1"/>
        <c:lblAlgn val="ctr"/>
        <c:lblOffset val="100"/>
        <c:noMultiLvlLbl val="0"/>
      </c:catAx>
      <c:valAx>
        <c:axId val="893225672"/>
        <c:scaling>
          <c:orientation val="minMax"/>
        </c:scaling>
        <c:delete val="1"/>
        <c:axPos val="l"/>
        <c:numFmt formatCode="0" sourceLinked="1"/>
        <c:majorTickMark val="none"/>
        <c:minorTickMark val="none"/>
        <c:tickLblPos val="nextTo"/>
        <c:crossAx val="89322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Report!PivotTable10</c:name>
    <c:fmtId val="36"/>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5.250243931683489E-2"/>
          <c:y val="0.15298143784349097"/>
          <c:w val="0.87247148612953884"/>
          <c:h val="0.68023105182390109"/>
        </c:manualLayout>
      </c:layout>
      <c:pieChart>
        <c:varyColors val="1"/>
        <c:ser>
          <c:idx val="0"/>
          <c:order val="0"/>
          <c:tx>
            <c:strRef>
              <c:f>'Pivot Report'!$B$63</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268</c:v>
                </c:pt>
                <c:pt idx="1">
                  <c:v>201</c:v>
                </c:pt>
              </c:numCache>
            </c:numRef>
          </c:val>
          <c:extLst>
            <c:ext xmlns:c16="http://schemas.microsoft.com/office/drawing/2014/chart" uri="{C3380CC4-5D6E-409C-BE32-E72D297353CC}">
              <c16:uniqueId val="{0000000D-3D84-4890-B0E0-E70773468E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2189938285881226E-2"/>
          <c:y val="2.496623811453513E-2"/>
          <c:w val="0.8364113300792424"/>
          <c:h val="0.13773257509477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Report!PivotTable11</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4002353313727745"/>
          <c:y val="0.18457241616716527"/>
          <c:w val="0.52310985750440442"/>
          <c:h val="0.64927225477505601"/>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241</c:v>
                </c:pt>
                <c:pt idx="1">
                  <c:v>228</c:v>
                </c:pt>
              </c:numCache>
            </c:numRef>
          </c:val>
          <c:extLst>
            <c:ext xmlns:c16="http://schemas.microsoft.com/office/drawing/2014/chart" uri="{C3380CC4-5D6E-409C-BE32-E72D297353CC}">
              <c16:uniqueId val="{00000007-E631-452B-A1EC-B7BAE506D125}"/>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7.4218034388284324E-2"/>
          <c:y val="4.314986398637987E-2"/>
          <c:w val="0.70278546624705085"/>
          <c:h val="0.14693719856407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Report!PivotTable12</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17634627888541"/>
          <c:y val="8.5333373662716372E-2"/>
          <c:w val="0.56477378644733667"/>
          <c:h val="0.73806659857482426"/>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Report'!$B$77:$B$85</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3-40CB-481B-9238-1D26FA591165}"/>
            </c:ext>
          </c:extLst>
        </c:ser>
        <c:dLbls>
          <c:showLegendKey val="0"/>
          <c:showVal val="0"/>
          <c:showCatName val="0"/>
          <c:showSerName val="0"/>
          <c:showPercent val="0"/>
          <c:showBubbleSize val="0"/>
        </c:dLbls>
        <c:gapWidth val="30"/>
        <c:axId val="374434104"/>
        <c:axId val="671777912"/>
      </c:barChart>
      <c:catAx>
        <c:axId val="374434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77912"/>
        <c:crosses val="autoZero"/>
        <c:auto val="1"/>
        <c:lblAlgn val="ctr"/>
        <c:lblOffset val="100"/>
        <c:noMultiLvlLbl val="0"/>
      </c:catAx>
      <c:valAx>
        <c:axId val="671777912"/>
        <c:scaling>
          <c:orientation val="minMax"/>
        </c:scaling>
        <c:delete val="1"/>
        <c:axPos val="b"/>
        <c:numFmt formatCode="0" sourceLinked="1"/>
        <c:majorTickMark val="none"/>
        <c:minorTickMark val="none"/>
        <c:tickLblPos val="nextTo"/>
        <c:crossAx val="374434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Report'!$H$6:$H$36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E522-4D64-B156-E8ADCFFC01C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5726288"/>
        <c:axId val="525729888"/>
      </c:areaChart>
      <c:catAx>
        <c:axId val="5257262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5729888"/>
        <c:crosses val="autoZero"/>
        <c:auto val="1"/>
        <c:lblAlgn val="ctr"/>
        <c:lblOffset val="100"/>
        <c:noMultiLvlLbl val="0"/>
      </c:catAx>
      <c:valAx>
        <c:axId val="525729888"/>
        <c:scaling>
          <c:orientation val="minMax"/>
        </c:scaling>
        <c:delete val="1"/>
        <c:axPos val="l"/>
        <c:numFmt formatCode="General" sourceLinked="1"/>
        <c:majorTickMark val="out"/>
        <c:minorTickMark val="none"/>
        <c:tickLblPos val="nextTo"/>
        <c:crossAx val="5257262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Report'!$K$7:$K$37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Report'!$L$7:$L$37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0E3C-451F-BC7D-CC85FC1227F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8290160"/>
        <c:axId val="448290520"/>
      </c:areaChart>
      <c:catAx>
        <c:axId val="4482901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8290520"/>
        <c:crosses val="autoZero"/>
        <c:auto val="1"/>
        <c:lblAlgn val="ctr"/>
        <c:lblOffset val="100"/>
        <c:noMultiLvlLbl val="0"/>
      </c:catAx>
      <c:valAx>
        <c:axId val="448290520"/>
        <c:scaling>
          <c:orientation val="minMax"/>
        </c:scaling>
        <c:delete val="1"/>
        <c:axPos val="l"/>
        <c:numFmt formatCode="0.00" sourceLinked="1"/>
        <c:majorTickMark val="out"/>
        <c:minorTickMark val="none"/>
        <c:tickLblPos val="nextTo"/>
        <c:crossAx val="448290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[Hospitals.xlsx]Pivot Report!PivotTable7</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Report'!$N$7:$N$34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Report'!$O$7:$O$34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2-10BE-4863-90C6-EA1962FFAC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91855832"/>
        <c:axId val="891862312"/>
      </c:areaChart>
      <c:catAx>
        <c:axId val="8918558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1862312"/>
        <c:crosses val="autoZero"/>
        <c:auto val="1"/>
        <c:lblAlgn val="ctr"/>
        <c:lblOffset val="100"/>
        <c:noMultiLvlLbl val="0"/>
      </c:catAx>
      <c:valAx>
        <c:axId val="891862312"/>
        <c:scaling>
          <c:orientation val="minMax"/>
        </c:scaling>
        <c:delete val="1"/>
        <c:axPos val="l"/>
        <c:numFmt formatCode="0.00" sourceLinked="1"/>
        <c:majorTickMark val="out"/>
        <c:minorTickMark val="none"/>
        <c:tickLblPos val="nextTo"/>
        <c:crossAx val="89185583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8.xml"/><Relationship Id="rId17" Type="http://schemas.openxmlformats.org/officeDocument/2006/relationships/image" Target="../media/image7.png"/><Relationship Id="rId2" Type="http://schemas.openxmlformats.org/officeDocument/2006/relationships/hyperlink" Target="#'Daily ER No of Patient'!A1"/><Relationship Id="rId16" Type="http://schemas.openxmlformats.org/officeDocument/2006/relationships/image" Target="../media/image6.svg"/><Relationship Id="rId1" Type="http://schemas.openxmlformats.org/officeDocument/2006/relationships/image" Target="../media/image1.png"/><Relationship Id="rId6" Type="http://schemas.openxmlformats.org/officeDocument/2006/relationships/hyperlink" Target="#'Satisfaction score daily trends'!A1"/><Relationship Id="rId11" Type="http://schemas.openxmlformats.org/officeDocument/2006/relationships/chart" Target="../charts/chart7.xml"/><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hyperlink" Target="#'Average wait time daily trend'!A1"/><Relationship Id="rId9" Type="http://schemas.openxmlformats.org/officeDocument/2006/relationships/chart" Target="../charts/chart5.xml"/><Relationship Id="rId1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7</xdr:col>
      <xdr:colOff>9525</xdr:colOff>
      <xdr:row>41</xdr:row>
      <xdr:rowOff>180975</xdr:rowOff>
    </xdr:from>
    <xdr:to>
      <xdr:col>8</xdr:col>
      <xdr:colOff>352425</xdr:colOff>
      <xdr:row>44</xdr:row>
      <xdr:rowOff>13138</xdr:rowOff>
    </xdr:to>
    <xdr:graphicFrame macro="">
      <xdr:nvGraphicFramePr>
        <xdr:cNvPr id="9" name="Chart 8">
          <a:extLst>
            <a:ext uri="{FF2B5EF4-FFF2-40B4-BE49-F238E27FC236}">
              <a16:creationId xmlns:a16="http://schemas.microsoft.com/office/drawing/2014/main" id="{89BC839A-0BB9-3B83-3A0C-F3BB794FD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52916</xdr:colOff>
      <xdr:row>0</xdr:row>
      <xdr:rowOff>58209</xdr:rowOff>
    </xdr:from>
    <xdr:to>
      <xdr:col>5</xdr:col>
      <xdr:colOff>295777</xdr:colOff>
      <xdr:row>2</xdr:row>
      <xdr:rowOff>179917</xdr:rowOff>
    </xdr:to>
    <xdr:sp macro="" textlink="">
      <xdr:nvSpPr>
        <xdr:cNvPr id="2" name="Rectangle: Rounded Corners 1">
          <a:extLst>
            <a:ext uri="{FF2B5EF4-FFF2-40B4-BE49-F238E27FC236}">
              <a16:creationId xmlns:a16="http://schemas.microsoft.com/office/drawing/2014/main" id="{7132546F-9E7E-6DA6-AE5B-9C140C366F48}"/>
            </a:ext>
          </a:extLst>
        </xdr:cNvPr>
        <xdr:cNvSpPr/>
      </xdr:nvSpPr>
      <xdr:spPr>
        <a:xfrm>
          <a:off x="52916" y="58209"/>
          <a:ext cx="3300887" cy="502708"/>
        </a:xfrm>
        <a:prstGeom prst="roundRect">
          <a:avLst>
            <a:gd name="adj" fmla="val 614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328083</xdr:colOff>
      <xdr:row>0</xdr:row>
      <xdr:rowOff>58209</xdr:rowOff>
    </xdr:from>
    <xdr:to>
      <xdr:col>7</xdr:col>
      <xdr:colOff>26458</xdr:colOff>
      <xdr:row>2</xdr:row>
      <xdr:rowOff>179917</xdr:rowOff>
    </xdr:to>
    <xdr:sp macro="" textlink="">
      <xdr:nvSpPr>
        <xdr:cNvPr id="3" name="Rectangle: Rounded Corners 2">
          <a:extLst>
            <a:ext uri="{FF2B5EF4-FFF2-40B4-BE49-F238E27FC236}">
              <a16:creationId xmlns:a16="http://schemas.microsoft.com/office/drawing/2014/main" id="{22168B0C-A3A4-ECBF-9BAE-AEE112166EB8}"/>
            </a:ext>
          </a:extLst>
        </xdr:cNvPr>
        <xdr:cNvSpPr/>
      </xdr:nvSpPr>
      <xdr:spPr>
        <a:xfrm>
          <a:off x="3370791" y="58209"/>
          <a:ext cx="915459" cy="502708"/>
        </a:xfrm>
        <a:prstGeom prst="roundRect">
          <a:avLst>
            <a:gd name="adj" fmla="val 71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68791</xdr:colOff>
      <xdr:row>0</xdr:row>
      <xdr:rowOff>58208</xdr:rowOff>
    </xdr:from>
    <xdr:to>
      <xdr:col>9</xdr:col>
      <xdr:colOff>222251</xdr:colOff>
      <xdr:row>5</xdr:row>
      <xdr:rowOff>121707</xdr:rowOff>
    </xdr:to>
    <xdr:sp macro="" textlink="">
      <xdr:nvSpPr>
        <xdr:cNvPr id="4" name="Rectangle: Rounded Corners 3">
          <a:extLst>
            <a:ext uri="{FF2B5EF4-FFF2-40B4-BE49-F238E27FC236}">
              <a16:creationId xmlns:a16="http://schemas.microsoft.com/office/drawing/2014/main" id="{58AC0FEE-CB69-A176-F79E-3D2D2567F1A1}"/>
            </a:ext>
          </a:extLst>
        </xdr:cNvPr>
        <xdr:cNvSpPr/>
      </xdr:nvSpPr>
      <xdr:spPr>
        <a:xfrm>
          <a:off x="4350028" y="58208"/>
          <a:ext cx="1376670" cy="1015999"/>
        </a:xfrm>
        <a:prstGeom prst="roundRect">
          <a:avLst>
            <a:gd name="adj" fmla="val 345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259291</xdr:colOff>
      <xdr:row>0</xdr:row>
      <xdr:rowOff>58208</xdr:rowOff>
    </xdr:from>
    <xdr:to>
      <xdr:col>11</xdr:col>
      <xdr:colOff>306917</xdr:colOff>
      <xdr:row>5</xdr:row>
      <xdr:rowOff>121707</xdr:rowOff>
    </xdr:to>
    <xdr:sp macro="" textlink="">
      <xdr:nvSpPr>
        <xdr:cNvPr id="5" name="Rectangle: Rounded Corners 4">
          <a:extLst>
            <a:ext uri="{FF2B5EF4-FFF2-40B4-BE49-F238E27FC236}">
              <a16:creationId xmlns:a16="http://schemas.microsoft.com/office/drawing/2014/main" id="{FF22BD90-71F7-89A5-B8FB-B28F042A9D12}"/>
            </a:ext>
          </a:extLst>
        </xdr:cNvPr>
        <xdr:cNvSpPr/>
      </xdr:nvSpPr>
      <xdr:spPr>
        <a:xfrm>
          <a:off x="5763738" y="58208"/>
          <a:ext cx="1270837" cy="1015999"/>
        </a:xfrm>
        <a:prstGeom prst="roundRect">
          <a:avLst>
            <a:gd name="adj" fmla="val 531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52917</xdr:colOff>
      <xdr:row>3</xdr:row>
      <xdr:rowOff>26459</xdr:rowOff>
    </xdr:from>
    <xdr:to>
      <xdr:col>1</xdr:col>
      <xdr:colOff>175461</xdr:colOff>
      <xdr:row>15</xdr:row>
      <xdr:rowOff>150395</xdr:rowOff>
    </xdr:to>
    <xdr:sp macro="" textlink="">
      <xdr:nvSpPr>
        <xdr:cNvPr id="6" name="Rectangle: Rounded Corners 5">
          <a:extLst>
            <a:ext uri="{FF2B5EF4-FFF2-40B4-BE49-F238E27FC236}">
              <a16:creationId xmlns:a16="http://schemas.microsoft.com/office/drawing/2014/main" id="{FC8F3BC0-55F8-6EFB-6F35-3BED5E8E1EE8}"/>
            </a:ext>
          </a:extLst>
        </xdr:cNvPr>
        <xdr:cNvSpPr/>
      </xdr:nvSpPr>
      <xdr:spPr>
        <a:xfrm>
          <a:off x="52917" y="597959"/>
          <a:ext cx="734149" cy="2409936"/>
        </a:xfrm>
        <a:prstGeom prst="roundRect">
          <a:avLst>
            <a:gd name="adj" fmla="val 75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218352</xdr:colOff>
      <xdr:row>3</xdr:row>
      <xdr:rowOff>26459</xdr:rowOff>
    </xdr:from>
    <xdr:to>
      <xdr:col>3</xdr:col>
      <xdr:colOff>145381</xdr:colOff>
      <xdr:row>6</xdr:row>
      <xdr:rowOff>175461</xdr:rowOff>
    </xdr:to>
    <xdr:sp macro="" textlink="">
      <xdr:nvSpPr>
        <xdr:cNvPr id="7" name="Rectangle: Rounded Corners 6">
          <a:extLst>
            <a:ext uri="{FF2B5EF4-FFF2-40B4-BE49-F238E27FC236}">
              <a16:creationId xmlns:a16="http://schemas.microsoft.com/office/drawing/2014/main" id="{9FBEBD23-F17C-2F78-2454-7C82AAE109CE}"/>
            </a:ext>
          </a:extLst>
        </xdr:cNvPr>
        <xdr:cNvSpPr/>
      </xdr:nvSpPr>
      <xdr:spPr>
        <a:xfrm>
          <a:off x="829957" y="597959"/>
          <a:ext cx="1150240" cy="720502"/>
        </a:xfrm>
        <a:prstGeom prst="roundRect">
          <a:avLst>
            <a:gd name="adj" fmla="val 75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162101</xdr:colOff>
      <xdr:row>3</xdr:row>
      <xdr:rowOff>20506</xdr:rowOff>
    </xdr:from>
    <xdr:to>
      <xdr:col>5</xdr:col>
      <xdr:colOff>92430</xdr:colOff>
      <xdr:row>6</xdr:row>
      <xdr:rowOff>169508</xdr:rowOff>
    </xdr:to>
    <xdr:sp macro="" textlink="">
      <xdr:nvSpPr>
        <xdr:cNvPr id="8" name="Rectangle: Rounded Corners 7">
          <a:extLst>
            <a:ext uri="{FF2B5EF4-FFF2-40B4-BE49-F238E27FC236}">
              <a16:creationId xmlns:a16="http://schemas.microsoft.com/office/drawing/2014/main" id="{B587ECC5-4F59-D898-F62D-2947A232656D}"/>
            </a:ext>
          </a:extLst>
        </xdr:cNvPr>
        <xdr:cNvSpPr/>
      </xdr:nvSpPr>
      <xdr:spPr>
        <a:xfrm>
          <a:off x="1983757" y="592006"/>
          <a:ext cx="1144767" cy="720502"/>
        </a:xfrm>
        <a:prstGeom prst="roundRect">
          <a:avLst>
            <a:gd name="adj" fmla="val 75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141571</xdr:colOff>
      <xdr:row>3</xdr:row>
      <xdr:rowOff>26459</xdr:rowOff>
    </xdr:from>
    <xdr:to>
      <xdr:col>7</xdr:col>
      <xdr:colOff>45118</xdr:colOff>
      <xdr:row>6</xdr:row>
      <xdr:rowOff>175461</xdr:rowOff>
    </xdr:to>
    <xdr:sp macro="" textlink="">
      <xdr:nvSpPr>
        <xdr:cNvPr id="9" name="Rectangle: Rounded Corners 8">
          <a:extLst>
            <a:ext uri="{FF2B5EF4-FFF2-40B4-BE49-F238E27FC236}">
              <a16:creationId xmlns:a16="http://schemas.microsoft.com/office/drawing/2014/main" id="{73439B03-1DC6-B420-1B03-029E6D92073D}"/>
            </a:ext>
          </a:extLst>
        </xdr:cNvPr>
        <xdr:cNvSpPr/>
      </xdr:nvSpPr>
      <xdr:spPr>
        <a:xfrm>
          <a:off x="3199597" y="597959"/>
          <a:ext cx="1126758" cy="720502"/>
        </a:xfrm>
        <a:prstGeom prst="roundRect">
          <a:avLst>
            <a:gd name="adj" fmla="val 75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218351</xdr:colOff>
      <xdr:row>10</xdr:row>
      <xdr:rowOff>5013</xdr:rowOff>
    </xdr:from>
    <xdr:to>
      <xdr:col>7</xdr:col>
      <xdr:colOff>65170</xdr:colOff>
      <xdr:row>15</xdr:row>
      <xdr:rowOff>130343</xdr:rowOff>
    </xdr:to>
    <xdr:sp macro="" textlink="">
      <xdr:nvSpPr>
        <xdr:cNvPr id="14" name="Rectangle: Rounded Corners 13">
          <a:extLst>
            <a:ext uri="{FF2B5EF4-FFF2-40B4-BE49-F238E27FC236}">
              <a16:creationId xmlns:a16="http://schemas.microsoft.com/office/drawing/2014/main" id="{47CBBB9B-2533-AFF8-76C1-D26AE96513DC}"/>
            </a:ext>
          </a:extLst>
        </xdr:cNvPr>
        <xdr:cNvSpPr/>
      </xdr:nvSpPr>
      <xdr:spPr>
        <a:xfrm>
          <a:off x="829956" y="1910013"/>
          <a:ext cx="3516451" cy="1077830"/>
        </a:xfrm>
        <a:prstGeom prst="roundRect">
          <a:avLst>
            <a:gd name="adj" fmla="val 434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218351</xdr:colOff>
      <xdr:row>7</xdr:row>
      <xdr:rowOff>25066</xdr:rowOff>
    </xdr:from>
    <xdr:to>
      <xdr:col>7</xdr:col>
      <xdr:colOff>55144</xdr:colOff>
      <xdr:row>9</xdr:row>
      <xdr:rowOff>170447</xdr:rowOff>
    </xdr:to>
    <xdr:sp macro="" textlink="">
      <xdr:nvSpPr>
        <xdr:cNvPr id="15" name="Rectangle: Rounded Corners 14">
          <a:extLst>
            <a:ext uri="{FF2B5EF4-FFF2-40B4-BE49-F238E27FC236}">
              <a16:creationId xmlns:a16="http://schemas.microsoft.com/office/drawing/2014/main" id="{2EE5175C-4067-A2D5-CCF4-C6078E3D1485}"/>
            </a:ext>
          </a:extLst>
        </xdr:cNvPr>
        <xdr:cNvSpPr/>
      </xdr:nvSpPr>
      <xdr:spPr>
        <a:xfrm>
          <a:off x="829956" y="1358566"/>
          <a:ext cx="3506425" cy="526381"/>
        </a:xfrm>
        <a:prstGeom prst="roundRect">
          <a:avLst>
            <a:gd name="adj" fmla="val 75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95251</xdr:colOff>
      <xdr:row>5</xdr:row>
      <xdr:rowOff>155408</xdr:rowOff>
    </xdr:from>
    <xdr:to>
      <xdr:col>11</xdr:col>
      <xdr:colOff>306918</xdr:colOff>
      <xdr:row>15</xdr:row>
      <xdr:rowOff>120316</xdr:rowOff>
    </xdr:to>
    <xdr:sp macro="" textlink="">
      <xdr:nvSpPr>
        <xdr:cNvPr id="16" name="Rectangle: Rounded Corners 15">
          <a:extLst>
            <a:ext uri="{FF2B5EF4-FFF2-40B4-BE49-F238E27FC236}">
              <a16:creationId xmlns:a16="http://schemas.microsoft.com/office/drawing/2014/main" id="{3629A947-3E8D-6873-7EDB-96395CF8F861}"/>
            </a:ext>
          </a:extLst>
        </xdr:cNvPr>
        <xdr:cNvSpPr/>
      </xdr:nvSpPr>
      <xdr:spPr>
        <a:xfrm>
          <a:off x="4376488" y="1107908"/>
          <a:ext cx="2658088" cy="1869908"/>
        </a:xfrm>
        <a:prstGeom prst="roundRect">
          <a:avLst>
            <a:gd name="adj" fmla="val 165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xdr:col>
      <xdr:colOff>145381</xdr:colOff>
      <xdr:row>0</xdr:row>
      <xdr:rowOff>105275</xdr:rowOff>
    </xdr:from>
    <xdr:to>
      <xdr:col>5</xdr:col>
      <xdr:colOff>185487</xdr:colOff>
      <xdr:row>1</xdr:row>
      <xdr:rowOff>120315</xdr:rowOff>
    </xdr:to>
    <xdr:sp macro="" textlink="">
      <xdr:nvSpPr>
        <xdr:cNvPr id="10" name="TextBox 9">
          <a:extLst>
            <a:ext uri="{FF2B5EF4-FFF2-40B4-BE49-F238E27FC236}">
              <a16:creationId xmlns:a16="http://schemas.microsoft.com/office/drawing/2014/main" id="{B3AB907B-C3B7-1AF9-F07F-B3E6CED293DD}"/>
            </a:ext>
          </a:extLst>
        </xdr:cNvPr>
        <xdr:cNvSpPr txBox="1"/>
      </xdr:nvSpPr>
      <xdr:spPr>
        <a:xfrm>
          <a:off x="756986" y="105275"/>
          <a:ext cx="2486527" cy="20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1200"/>
            <a:t>Hospital Emergency Room Dashboard</a:t>
          </a:r>
        </a:p>
      </xdr:txBody>
    </xdr:sp>
    <xdr:clientData/>
  </xdr:twoCellAnchor>
  <xdr:twoCellAnchor editAs="oneCell">
    <xdr:from>
      <xdr:col>0</xdr:col>
      <xdr:colOff>0</xdr:colOff>
      <xdr:row>0</xdr:row>
      <xdr:rowOff>95249</xdr:rowOff>
    </xdr:from>
    <xdr:to>
      <xdr:col>1</xdr:col>
      <xdr:colOff>125329</xdr:colOff>
      <xdr:row>3</xdr:row>
      <xdr:rowOff>5012</xdr:rowOff>
    </xdr:to>
    <xdr:pic>
      <xdr:nvPicPr>
        <xdr:cNvPr id="17" name="Picture 16">
          <a:extLst>
            <a:ext uri="{FF2B5EF4-FFF2-40B4-BE49-F238E27FC236}">
              <a16:creationId xmlns:a16="http://schemas.microsoft.com/office/drawing/2014/main" id="{E81BCDCA-4028-7E11-3830-4F7A2C46F39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74" r="21569" b="4000"/>
        <a:stretch>
          <a:fillRect/>
        </a:stretch>
      </xdr:blipFill>
      <xdr:spPr>
        <a:xfrm>
          <a:off x="0" y="95249"/>
          <a:ext cx="736934" cy="481263"/>
        </a:xfrm>
        <a:prstGeom prst="rect">
          <a:avLst/>
        </a:prstGeom>
      </xdr:spPr>
    </xdr:pic>
    <xdr:clientData/>
  </xdr:twoCellAnchor>
  <xdr:twoCellAnchor editAs="absolute">
    <xdr:from>
      <xdr:col>2</xdr:col>
      <xdr:colOff>125330</xdr:colOff>
      <xdr:row>1</xdr:row>
      <xdr:rowOff>120316</xdr:rowOff>
    </xdr:from>
    <xdr:to>
      <xdr:col>4</xdr:col>
      <xdr:colOff>30080</xdr:colOff>
      <xdr:row>2</xdr:row>
      <xdr:rowOff>75198</xdr:rowOff>
    </xdr:to>
    <xdr:sp macro="" textlink="">
      <xdr:nvSpPr>
        <xdr:cNvPr id="18" name="TextBox 17">
          <a:extLst>
            <a:ext uri="{FF2B5EF4-FFF2-40B4-BE49-F238E27FC236}">
              <a16:creationId xmlns:a16="http://schemas.microsoft.com/office/drawing/2014/main" id="{34367A5E-5B25-6E4B-8B53-78992EE2565C}"/>
            </a:ext>
          </a:extLst>
        </xdr:cNvPr>
        <xdr:cNvSpPr txBox="1"/>
      </xdr:nvSpPr>
      <xdr:spPr>
        <a:xfrm>
          <a:off x="1348541" y="310816"/>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900"/>
            <a:t>Monthly</a:t>
          </a:r>
          <a:r>
            <a:rPr lang="en-GB" sz="900" baseline="0"/>
            <a:t> Report</a:t>
          </a:r>
          <a:endParaRPr lang="en-GB" sz="900"/>
        </a:p>
      </xdr:txBody>
    </xdr:sp>
    <xdr:clientData/>
  </xdr:twoCellAnchor>
  <xdr:twoCellAnchor editAs="absolute">
    <xdr:from>
      <xdr:col>1</xdr:col>
      <xdr:colOff>222586</xdr:colOff>
      <xdr:row>4</xdr:row>
      <xdr:rowOff>172452</xdr:rowOff>
    </xdr:from>
    <xdr:to>
      <xdr:col>3</xdr:col>
      <xdr:colOff>127335</xdr:colOff>
      <xdr:row>5</xdr:row>
      <xdr:rowOff>127334</xdr:rowOff>
    </xdr:to>
    <xdr:sp macro="" textlink="">
      <xdr:nvSpPr>
        <xdr:cNvPr id="19" name="TextBox 18">
          <a:extLst>
            <a:ext uri="{FF2B5EF4-FFF2-40B4-BE49-F238E27FC236}">
              <a16:creationId xmlns:a16="http://schemas.microsoft.com/office/drawing/2014/main" id="{B13C9B90-135D-B7C4-64A7-B75CA65ECED4}"/>
            </a:ext>
          </a:extLst>
        </xdr:cNvPr>
        <xdr:cNvSpPr txBox="1"/>
      </xdr:nvSpPr>
      <xdr:spPr>
        <a:xfrm>
          <a:off x="834191" y="934452"/>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900"/>
            <a:t>No.</a:t>
          </a:r>
          <a:r>
            <a:rPr lang="en-GB" sz="900" baseline="0"/>
            <a:t> of Patient</a:t>
          </a:r>
        </a:p>
      </xdr:txBody>
    </xdr:sp>
    <xdr:clientData/>
  </xdr:twoCellAnchor>
  <xdr:twoCellAnchor editAs="absolute">
    <xdr:from>
      <xdr:col>1</xdr:col>
      <xdr:colOff>234617</xdr:colOff>
      <xdr:row>3</xdr:row>
      <xdr:rowOff>179470</xdr:rowOff>
    </xdr:from>
    <xdr:to>
      <xdr:col>3</xdr:col>
      <xdr:colOff>139366</xdr:colOff>
      <xdr:row>4</xdr:row>
      <xdr:rowOff>134352</xdr:rowOff>
    </xdr:to>
    <xdr:sp macro="" textlink="'Pivot Report'!A6">
      <xdr:nvSpPr>
        <xdr:cNvPr id="20" name="TextBox 19">
          <a:extLst>
            <a:ext uri="{FF2B5EF4-FFF2-40B4-BE49-F238E27FC236}">
              <a16:creationId xmlns:a16="http://schemas.microsoft.com/office/drawing/2014/main" id="{258FF2FE-AB31-F3A7-1F03-AE459C260CAC}"/>
            </a:ext>
          </a:extLst>
        </xdr:cNvPr>
        <xdr:cNvSpPr txBox="1"/>
      </xdr:nvSpPr>
      <xdr:spPr>
        <a:xfrm>
          <a:off x="846222" y="750970"/>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69ADA86-AB98-45E2-BDDF-3A3A617D6C2B}" type="TxLink">
            <a:rPr lang="en-US" sz="1100" b="0" i="0" u="none" strike="noStrike">
              <a:solidFill>
                <a:srgbClr val="000000"/>
              </a:solidFill>
              <a:latin typeface="Calibri"/>
              <a:cs typeface="Calibri"/>
            </a:rPr>
            <a:t>469</a:t>
          </a:fld>
          <a:endParaRPr lang="en-US"/>
        </a:p>
      </xdr:txBody>
    </xdr:sp>
    <xdr:clientData/>
  </xdr:twoCellAnchor>
  <xdr:twoCellAnchor editAs="absolute">
    <xdr:from>
      <xdr:col>3</xdr:col>
      <xdr:colOff>164433</xdr:colOff>
      <xdr:row>4</xdr:row>
      <xdr:rowOff>184484</xdr:rowOff>
    </xdr:from>
    <xdr:to>
      <xdr:col>5</xdr:col>
      <xdr:colOff>69183</xdr:colOff>
      <xdr:row>5</xdr:row>
      <xdr:rowOff>139366</xdr:rowOff>
    </xdr:to>
    <xdr:sp macro="" textlink="">
      <xdr:nvSpPr>
        <xdr:cNvPr id="157" name="TextBox 156">
          <a:extLst>
            <a:ext uri="{FF2B5EF4-FFF2-40B4-BE49-F238E27FC236}">
              <a16:creationId xmlns:a16="http://schemas.microsoft.com/office/drawing/2014/main" id="{101202D4-5A21-2405-3524-DB21B315CDE5}"/>
            </a:ext>
          </a:extLst>
        </xdr:cNvPr>
        <xdr:cNvSpPr txBox="1"/>
      </xdr:nvSpPr>
      <xdr:spPr>
        <a:xfrm>
          <a:off x="1999249" y="946484"/>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900" baseline="0"/>
            <a:t>Average Wait Time</a:t>
          </a:r>
        </a:p>
      </xdr:txBody>
    </xdr:sp>
    <xdr:clientData/>
  </xdr:twoCellAnchor>
  <xdr:twoCellAnchor editAs="absolute">
    <xdr:from>
      <xdr:col>3</xdr:col>
      <xdr:colOff>176464</xdr:colOff>
      <xdr:row>4</xdr:row>
      <xdr:rowOff>1002</xdr:rowOff>
    </xdr:from>
    <xdr:to>
      <xdr:col>5</xdr:col>
      <xdr:colOff>81214</xdr:colOff>
      <xdr:row>4</xdr:row>
      <xdr:rowOff>146384</xdr:rowOff>
    </xdr:to>
    <xdr:sp macro="" textlink="'Pivot Report'!A10">
      <xdr:nvSpPr>
        <xdr:cNvPr id="158" name="TextBox 157">
          <a:extLst>
            <a:ext uri="{FF2B5EF4-FFF2-40B4-BE49-F238E27FC236}">
              <a16:creationId xmlns:a16="http://schemas.microsoft.com/office/drawing/2014/main" id="{E2AFC56C-5E32-1A9F-979F-59D3674326FD}"/>
            </a:ext>
          </a:extLst>
        </xdr:cNvPr>
        <xdr:cNvSpPr txBox="1"/>
      </xdr:nvSpPr>
      <xdr:spPr>
        <a:xfrm>
          <a:off x="2011280" y="763002"/>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C85E0C2-8462-498C-A0C0-2F5031365032}" type="TxLink">
            <a:rPr lang="en-US" sz="1100" b="0" i="0" u="none" strike="noStrike">
              <a:solidFill>
                <a:srgbClr val="000000"/>
              </a:solidFill>
              <a:latin typeface="Calibri"/>
              <a:cs typeface="Calibri"/>
            </a:rPr>
            <a:t>35.04</a:t>
          </a:fld>
          <a:endParaRPr lang="en-US"/>
        </a:p>
      </xdr:txBody>
    </xdr:sp>
    <xdr:clientData/>
  </xdr:twoCellAnchor>
  <xdr:twoCellAnchor editAs="absolute">
    <xdr:from>
      <xdr:col>5</xdr:col>
      <xdr:colOff>170447</xdr:colOff>
      <xdr:row>5</xdr:row>
      <xdr:rowOff>6016</xdr:rowOff>
    </xdr:from>
    <xdr:to>
      <xdr:col>7</xdr:col>
      <xdr:colOff>11029</xdr:colOff>
      <xdr:row>5</xdr:row>
      <xdr:rowOff>151398</xdr:rowOff>
    </xdr:to>
    <xdr:sp macro="" textlink="">
      <xdr:nvSpPr>
        <xdr:cNvPr id="159" name="TextBox 158">
          <a:extLst>
            <a:ext uri="{FF2B5EF4-FFF2-40B4-BE49-F238E27FC236}">
              <a16:creationId xmlns:a16="http://schemas.microsoft.com/office/drawing/2014/main" id="{C55F9342-E065-887D-ABF3-19FC60DCFBEA}"/>
            </a:ext>
          </a:extLst>
        </xdr:cNvPr>
        <xdr:cNvSpPr txBox="1"/>
      </xdr:nvSpPr>
      <xdr:spPr>
        <a:xfrm>
          <a:off x="3228473" y="958516"/>
          <a:ext cx="1063793"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GB" sz="800" baseline="0"/>
            <a:t>Patient Satisfaction</a:t>
          </a:r>
          <a:r>
            <a:rPr lang="en-GB" sz="900" baseline="0"/>
            <a:t> </a:t>
          </a:r>
          <a:r>
            <a:rPr lang="en-GB" sz="800" baseline="0"/>
            <a:t>Score</a:t>
          </a:r>
        </a:p>
      </xdr:txBody>
    </xdr:sp>
    <xdr:clientData/>
  </xdr:twoCellAnchor>
  <xdr:twoCellAnchor editAs="absolute">
    <xdr:from>
      <xdr:col>5</xdr:col>
      <xdr:colOff>118312</xdr:colOff>
      <xdr:row>4</xdr:row>
      <xdr:rowOff>13034</xdr:rowOff>
    </xdr:from>
    <xdr:to>
      <xdr:col>7</xdr:col>
      <xdr:colOff>23061</xdr:colOff>
      <xdr:row>4</xdr:row>
      <xdr:rowOff>158416</xdr:rowOff>
    </xdr:to>
    <xdr:sp macro="" textlink="'Pivot Report'!A13">
      <xdr:nvSpPr>
        <xdr:cNvPr id="160" name="TextBox 159">
          <a:extLst>
            <a:ext uri="{FF2B5EF4-FFF2-40B4-BE49-F238E27FC236}">
              <a16:creationId xmlns:a16="http://schemas.microsoft.com/office/drawing/2014/main" id="{969B8EF5-86E5-A483-BE1A-5F004EEB2DAE}"/>
            </a:ext>
          </a:extLst>
        </xdr:cNvPr>
        <xdr:cNvSpPr txBox="1"/>
      </xdr:nvSpPr>
      <xdr:spPr>
        <a:xfrm>
          <a:off x="3176338" y="775034"/>
          <a:ext cx="1127960" cy="145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C6AC52A-E637-474D-97C6-6427AFCFB994}" type="TxLink">
            <a:rPr lang="en-US" sz="1100" b="0" i="0" u="none" strike="noStrike">
              <a:solidFill>
                <a:srgbClr val="000000"/>
              </a:solidFill>
              <a:latin typeface="Calibri"/>
              <a:cs typeface="Calibri"/>
            </a:rPr>
            <a:t>4.63</a:t>
          </a:fld>
          <a:endParaRPr lang="en-US"/>
        </a:p>
      </xdr:txBody>
    </xdr:sp>
    <xdr:clientData/>
  </xdr:twoCellAnchor>
  <xdr:twoCellAnchor editAs="oneCell">
    <xdr:from>
      <xdr:col>0</xdr:col>
      <xdr:colOff>90237</xdr:colOff>
      <xdr:row>3</xdr:row>
      <xdr:rowOff>55145</xdr:rowOff>
    </xdr:from>
    <xdr:to>
      <xdr:col>1</xdr:col>
      <xdr:colOff>118082</xdr:colOff>
      <xdr:row>15</xdr:row>
      <xdr:rowOff>110288</xdr:rowOff>
    </xdr:to>
    <mc:AlternateContent xmlns:mc="http://schemas.openxmlformats.org/markup-compatibility/2006">
      <mc:Choice xmlns:a14="http://schemas.microsoft.com/office/drawing/2010/main" Requires="a14">
        <xdr:graphicFrame macro="">
          <xdr:nvGraphicFramePr>
            <xdr:cNvPr id="167" name="Date (Month)">
              <a:extLst>
                <a:ext uri="{FF2B5EF4-FFF2-40B4-BE49-F238E27FC236}">
                  <a16:creationId xmlns:a16="http://schemas.microsoft.com/office/drawing/2014/main" id="{D490FB83-D71B-4461-BF2B-8B958607A3C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90237" y="626645"/>
              <a:ext cx="635064" cy="2341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225592</xdr:colOff>
      <xdr:row>4</xdr:row>
      <xdr:rowOff>20054</xdr:rowOff>
    </xdr:from>
    <xdr:to>
      <xdr:col>3</xdr:col>
      <xdr:colOff>145381</xdr:colOff>
      <xdr:row>7</xdr:row>
      <xdr:rowOff>140368</xdr:rowOff>
    </xdr:to>
    <xdr:graphicFrame macro="">
      <xdr:nvGraphicFramePr>
        <xdr:cNvPr id="168" name="Chart 167">
          <a:hlinkClick xmlns:r="http://schemas.openxmlformats.org/officeDocument/2006/relationships" r:id="rId2"/>
          <a:extLst>
            <a:ext uri="{FF2B5EF4-FFF2-40B4-BE49-F238E27FC236}">
              <a16:creationId xmlns:a16="http://schemas.microsoft.com/office/drawing/2014/main" id="{9B947CEB-01AD-4378-A297-818659FA0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135355</xdr:colOff>
      <xdr:row>5</xdr:row>
      <xdr:rowOff>20053</xdr:rowOff>
    </xdr:from>
    <xdr:to>
      <xdr:col>5</xdr:col>
      <xdr:colOff>95250</xdr:colOff>
      <xdr:row>6</xdr:row>
      <xdr:rowOff>165435</xdr:rowOff>
    </xdr:to>
    <xdr:graphicFrame macro="">
      <xdr:nvGraphicFramePr>
        <xdr:cNvPr id="171" name="Chart 170">
          <a:hlinkClick xmlns:r="http://schemas.openxmlformats.org/officeDocument/2006/relationships" r:id="rId4"/>
          <a:extLst>
            <a:ext uri="{FF2B5EF4-FFF2-40B4-BE49-F238E27FC236}">
              <a16:creationId xmlns:a16="http://schemas.microsoft.com/office/drawing/2014/main" id="{5F422F3D-5C8F-4319-8DF1-8A94B3917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60157</xdr:colOff>
      <xdr:row>5</xdr:row>
      <xdr:rowOff>95250</xdr:rowOff>
    </xdr:from>
    <xdr:to>
      <xdr:col>7</xdr:col>
      <xdr:colOff>160420</xdr:colOff>
      <xdr:row>6</xdr:row>
      <xdr:rowOff>165432</xdr:rowOff>
    </xdr:to>
    <xdr:graphicFrame macro="">
      <xdr:nvGraphicFramePr>
        <xdr:cNvPr id="173" name="Chart 172">
          <a:hlinkClick xmlns:r="http://schemas.openxmlformats.org/officeDocument/2006/relationships" r:id="rId6"/>
          <a:extLst>
            <a:ext uri="{FF2B5EF4-FFF2-40B4-BE49-F238E27FC236}">
              <a16:creationId xmlns:a16="http://schemas.microsoft.com/office/drawing/2014/main" id="{5E11D039-8535-4D7C-ABF4-E0B8AF4E7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220579</xdr:colOff>
          <xdr:row>7</xdr:row>
          <xdr:rowOff>35092</xdr:rowOff>
        </xdr:from>
        <xdr:to>
          <xdr:col>7</xdr:col>
          <xdr:colOff>50131</xdr:colOff>
          <xdr:row>9</xdr:row>
          <xdr:rowOff>174960</xdr:rowOff>
        </xdr:to>
        <xdr:pic>
          <xdr:nvPicPr>
            <xdr:cNvPr id="178" name="Picture 177">
              <a:extLst>
                <a:ext uri="{FF2B5EF4-FFF2-40B4-BE49-F238E27FC236}">
                  <a16:creationId xmlns:a16="http://schemas.microsoft.com/office/drawing/2014/main" id="{DB3CB7F9-F8AA-AA50-1C27-2D1D1545F4AC}"/>
                </a:ext>
              </a:extLst>
            </xdr:cNvPr>
            <xdr:cNvPicPr>
              <a:picLocks noChangeAspect="1" noChangeArrowheads="1"/>
              <a:extLst>
                <a:ext uri="{84589F7E-364E-4C9E-8A38-B11213B215E9}">
                  <a14:cameraTool cellRange="'Pivot Report'!$E$42:$I$44" spid="_x0000_s1063"/>
                </a:ext>
              </a:extLst>
            </xdr:cNvPicPr>
          </xdr:nvPicPr>
          <xdr:blipFill>
            <a:blip xmlns:r="http://schemas.openxmlformats.org/officeDocument/2006/relationships" r:embed="rId8"/>
            <a:srcRect/>
            <a:stretch>
              <a:fillRect/>
            </a:stretch>
          </xdr:blipFill>
          <xdr:spPr bwMode="auto">
            <a:xfrm>
              <a:off x="829121" y="1368592"/>
              <a:ext cx="3480802" cy="52086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222250</xdr:colOff>
      <xdr:row>10</xdr:row>
      <xdr:rowOff>21166</xdr:rowOff>
    </xdr:from>
    <xdr:to>
      <xdr:col>7</xdr:col>
      <xdr:colOff>47625</xdr:colOff>
      <xdr:row>15</xdr:row>
      <xdr:rowOff>116583</xdr:rowOff>
    </xdr:to>
    <xdr:graphicFrame macro="">
      <xdr:nvGraphicFramePr>
        <xdr:cNvPr id="179" name="Chart 178">
          <a:extLst>
            <a:ext uri="{FF2B5EF4-FFF2-40B4-BE49-F238E27FC236}">
              <a16:creationId xmlns:a16="http://schemas.microsoft.com/office/drawing/2014/main" id="{AA64ECE8-EEE1-4E5B-8EA3-1FDBFB8F6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169861</xdr:colOff>
      <xdr:row>14</xdr:row>
      <xdr:rowOff>140756</xdr:rowOff>
    </xdr:from>
    <xdr:to>
      <xdr:col>5</xdr:col>
      <xdr:colOff>455083</xdr:colOff>
      <xdr:row>15</xdr:row>
      <xdr:rowOff>132291</xdr:rowOff>
    </xdr:to>
    <xdr:sp macro="" textlink="">
      <xdr:nvSpPr>
        <xdr:cNvPr id="183" name="TextBox 182">
          <a:extLst>
            <a:ext uri="{FF2B5EF4-FFF2-40B4-BE49-F238E27FC236}">
              <a16:creationId xmlns:a16="http://schemas.microsoft.com/office/drawing/2014/main" id="{EFCA2EA5-D091-EEAD-E874-AFA1EA768BC6}"/>
            </a:ext>
          </a:extLst>
        </xdr:cNvPr>
        <xdr:cNvSpPr txBox="1"/>
      </xdr:nvSpPr>
      <xdr:spPr>
        <a:xfrm>
          <a:off x="1995486" y="2807756"/>
          <a:ext cx="1502305" cy="18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a:t>No. of Patients by Age Group</a:t>
          </a:r>
        </a:p>
      </xdr:txBody>
    </xdr:sp>
    <xdr:clientData/>
  </xdr:twoCellAnchor>
  <xdr:twoCellAnchor>
    <xdr:from>
      <xdr:col>7</xdr:col>
      <xdr:colOff>83344</xdr:colOff>
      <xdr:row>0</xdr:row>
      <xdr:rowOff>41674</xdr:rowOff>
    </xdr:from>
    <xdr:to>
      <xdr:col>9</xdr:col>
      <xdr:colOff>220265</xdr:colOff>
      <xdr:row>5</xdr:row>
      <xdr:rowOff>113109</xdr:rowOff>
    </xdr:to>
    <xdr:graphicFrame macro="">
      <xdr:nvGraphicFramePr>
        <xdr:cNvPr id="184" name="Chart 183">
          <a:extLst>
            <a:ext uri="{FF2B5EF4-FFF2-40B4-BE49-F238E27FC236}">
              <a16:creationId xmlns:a16="http://schemas.microsoft.com/office/drawing/2014/main" id="{02262ED3-E9C2-4C28-9FD5-D35C888D7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209548</xdr:colOff>
      <xdr:row>4</xdr:row>
      <xdr:rowOff>113109</xdr:rowOff>
    </xdr:from>
    <xdr:to>
      <xdr:col>9</xdr:col>
      <xdr:colOff>71437</xdr:colOff>
      <xdr:row>5</xdr:row>
      <xdr:rowOff>89297</xdr:rowOff>
    </xdr:to>
    <xdr:sp macro="" textlink="">
      <xdr:nvSpPr>
        <xdr:cNvPr id="186" name="TextBox 185">
          <a:extLst>
            <a:ext uri="{FF2B5EF4-FFF2-40B4-BE49-F238E27FC236}">
              <a16:creationId xmlns:a16="http://schemas.microsoft.com/office/drawing/2014/main" id="{A65A149D-48A0-57F6-0290-26E53C0846AE}"/>
            </a:ext>
          </a:extLst>
        </xdr:cNvPr>
        <xdr:cNvSpPr txBox="1"/>
      </xdr:nvSpPr>
      <xdr:spPr>
        <a:xfrm>
          <a:off x="4460079" y="875109"/>
          <a:ext cx="1076327" cy="16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Patient</a:t>
          </a:r>
          <a:r>
            <a:rPr lang="en-GB" sz="800" baseline="0"/>
            <a:t> Attend Status</a:t>
          </a:r>
          <a:endParaRPr lang="en-GB" sz="800"/>
        </a:p>
      </xdr:txBody>
    </xdr:sp>
    <xdr:clientData/>
  </xdr:twoCellAnchor>
  <xdr:twoCellAnchor>
    <xdr:from>
      <xdr:col>9</xdr:col>
      <xdr:colOff>255984</xdr:colOff>
      <xdr:row>0</xdr:row>
      <xdr:rowOff>65486</xdr:rowOff>
    </xdr:from>
    <xdr:to>
      <xdr:col>11</xdr:col>
      <xdr:colOff>297656</xdr:colOff>
      <xdr:row>5</xdr:row>
      <xdr:rowOff>101203</xdr:rowOff>
    </xdr:to>
    <xdr:graphicFrame macro="">
      <xdr:nvGraphicFramePr>
        <xdr:cNvPr id="187" name="Chart 186">
          <a:extLst>
            <a:ext uri="{FF2B5EF4-FFF2-40B4-BE49-F238E27FC236}">
              <a16:creationId xmlns:a16="http://schemas.microsoft.com/office/drawing/2014/main" id="{37B818EE-BCEB-40AB-BBD8-0D6AF9CED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107156</xdr:colOff>
      <xdr:row>5</xdr:row>
      <xdr:rowOff>160734</xdr:rowOff>
    </xdr:from>
    <xdr:to>
      <xdr:col>11</xdr:col>
      <xdr:colOff>303610</xdr:colOff>
      <xdr:row>15</xdr:row>
      <xdr:rowOff>107155</xdr:rowOff>
    </xdr:to>
    <xdr:graphicFrame macro="">
      <xdr:nvGraphicFramePr>
        <xdr:cNvPr id="188" name="Chart 187">
          <a:extLst>
            <a:ext uri="{FF2B5EF4-FFF2-40B4-BE49-F238E27FC236}">
              <a16:creationId xmlns:a16="http://schemas.microsoft.com/office/drawing/2014/main" id="{91A06762-F84E-41C6-8D51-FAEF349A1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339328</xdr:colOff>
      <xdr:row>0</xdr:row>
      <xdr:rowOff>148828</xdr:rowOff>
    </xdr:from>
    <xdr:to>
      <xdr:col>7</xdr:col>
      <xdr:colOff>0</xdr:colOff>
      <xdr:row>2</xdr:row>
      <xdr:rowOff>136922</xdr:rowOff>
    </xdr:to>
    <mc:AlternateContent xmlns:mc="http://schemas.openxmlformats.org/markup-compatibility/2006">
      <mc:Choice xmlns:a14="http://schemas.microsoft.com/office/drawing/2010/main" Requires="a14">
        <xdr:graphicFrame macro="">
          <xdr:nvGraphicFramePr>
            <xdr:cNvPr id="189" name="Date (Year)">
              <a:extLst>
                <a:ext uri="{FF2B5EF4-FFF2-40B4-BE49-F238E27FC236}">
                  <a16:creationId xmlns:a16="http://schemas.microsoft.com/office/drawing/2014/main" id="{0116AC5E-266E-4FA0-A944-2838383355B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75422" y="148828"/>
              <a:ext cx="875109" cy="3690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392906</xdr:colOff>
      <xdr:row>3</xdr:row>
      <xdr:rowOff>17859</xdr:rowOff>
    </xdr:from>
    <xdr:to>
      <xdr:col>3</xdr:col>
      <xdr:colOff>185876</xdr:colOff>
      <xdr:row>4</xdr:row>
      <xdr:rowOff>178594</xdr:rowOff>
    </xdr:to>
    <xdr:pic>
      <xdr:nvPicPr>
        <xdr:cNvPr id="191" name="Graphic 190" descr="Male profile">
          <a:extLst>
            <a:ext uri="{FF2B5EF4-FFF2-40B4-BE49-F238E27FC236}">
              <a16:creationId xmlns:a16="http://schemas.microsoft.com/office/drawing/2014/main" id="{D4631EC7-C0E0-90ED-5BCD-82798F3C656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07344" y="589359"/>
          <a:ext cx="400188" cy="351235"/>
        </a:xfrm>
        <a:prstGeom prst="rect">
          <a:avLst/>
        </a:prstGeom>
      </xdr:spPr>
    </xdr:pic>
    <xdr:clientData/>
  </xdr:twoCellAnchor>
  <xdr:twoCellAnchor editAs="oneCell">
    <xdr:from>
      <xdr:col>6</xdr:col>
      <xdr:colOff>357188</xdr:colOff>
      <xdr:row>3</xdr:row>
      <xdr:rowOff>17859</xdr:rowOff>
    </xdr:from>
    <xdr:to>
      <xdr:col>7</xdr:col>
      <xdr:colOff>53578</xdr:colOff>
      <xdr:row>4</xdr:row>
      <xdr:rowOff>130967</xdr:rowOff>
    </xdr:to>
    <xdr:pic>
      <xdr:nvPicPr>
        <xdr:cNvPr id="193" name="Graphic 192" descr="Customer review RTL">
          <a:extLst>
            <a:ext uri="{FF2B5EF4-FFF2-40B4-BE49-F238E27FC236}">
              <a16:creationId xmlns:a16="http://schemas.microsoft.com/office/drawing/2014/main" id="{F02EF036-A52C-1BC2-226E-B8A7D168D65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000501" y="589359"/>
          <a:ext cx="303608" cy="303608"/>
        </a:xfrm>
        <a:prstGeom prst="rect">
          <a:avLst/>
        </a:prstGeom>
      </xdr:spPr>
    </xdr:pic>
    <xdr:clientData/>
  </xdr:twoCellAnchor>
  <xdr:twoCellAnchor editAs="oneCell">
    <xdr:from>
      <xdr:col>4</xdr:col>
      <xdr:colOff>429798</xdr:colOff>
      <xdr:row>3</xdr:row>
      <xdr:rowOff>30938</xdr:rowOff>
    </xdr:from>
    <xdr:to>
      <xdr:col>5</xdr:col>
      <xdr:colOff>89296</xdr:colOff>
      <xdr:row>4</xdr:row>
      <xdr:rowOff>107155</xdr:rowOff>
    </xdr:to>
    <xdr:pic>
      <xdr:nvPicPr>
        <xdr:cNvPr id="195" name="Graphic 194" descr="Hourglass">
          <a:extLst>
            <a:ext uri="{FF2B5EF4-FFF2-40B4-BE49-F238E27FC236}">
              <a16:creationId xmlns:a16="http://schemas.microsoft.com/office/drawing/2014/main" id="{6A3C7DB6-8572-CDBF-0D51-C46B4250468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58673" y="602438"/>
          <a:ext cx="266717" cy="266717"/>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0.13602</cdr:x>
      <cdr:y>0.79412</cdr:y>
    </cdr:from>
    <cdr:to>
      <cdr:x>1</cdr:x>
      <cdr:y>1</cdr:y>
    </cdr:to>
    <cdr:sp macro="" textlink="">
      <cdr:nvSpPr>
        <cdr:cNvPr id="2" name="TextBox 1">
          <a:extLst xmlns:a="http://schemas.openxmlformats.org/drawingml/2006/main">
            <a:ext uri="{FF2B5EF4-FFF2-40B4-BE49-F238E27FC236}">
              <a16:creationId xmlns:a16="http://schemas.microsoft.com/office/drawing/2014/main" id="{FD7B411A-5424-CC18-0832-B6BE97C41FFB}"/>
            </a:ext>
          </a:extLst>
        </cdr:cNvPr>
        <cdr:cNvSpPr txBox="1"/>
      </cdr:nvSpPr>
      <cdr:spPr>
        <a:xfrm xmlns:a="http://schemas.openxmlformats.org/drawingml/2006/main">
          <a:off x="170854" y="803670"/>
          <a:ext cx="1085255" cy="20836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r>
            <a:rPr lang="en-GB" sz="800" kern="1200"/>
            <a:t>Gender</a:t>
          </a:r>
          <a:r>
            <a:rPr lang="en-GB" sz="800" kern="1200" baseline="0"/>
            <a:t> Wise Analysis</a:t>
          </a:r>
          <a:endParaRPr lang="en-GB"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0.32585</cdr:x>
      <cdr:y>0.22073</cdr:y>
    </cdr:from>
    <cdr:to>
      <cdr:x>0.67415</cdr:x>
      <cdr:y>0.77927</cdr:y>
    </cdr:to>
    <cdr:sp macro="" textlink="">
      <cdr:nvSpPr>
        <cdr:cNvPr id="3" name="TextBox 2">
          <a:extLst xmlns:a="http://schemas.openxmlformats.org/drawingml/2006/main">
            <a:ext uri="{FF2B5EF4-FFF2-40B4-BE49-F238E27FC236}">
              <a16:creationId xmlns:a16="http://schemas.microsoft.com/office/drawing/2014/main" id="{354CDF6D-5DAC-22E6-0799-626520A1E2EB}"/>
            </a:ext>
          </a:extLst>
        </cdr:cNvPr>
        <cdr:cNvSpPr txBox="1"/>
      </cdr:nvSpPr>
      <cdr:spPr>
        <a:xfrm xmlns:a="http://schemas.openxmlformats.org/drawingml/2006/main">
          <a:off x="855464" y="36135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0.42404</cdr:x>
      <cdr:y>0.78909</cdr:y>
    </cdr:from>
    <cdr:to>
      <cdr:x>0.51701</cdr:x>
      <cdr:y>0.92364</cdr:y>
    </cdr:to>
    <cdr:sp macro="" textlink="">
      <cdr:nvSpPr>
        <cdr:cNvPr id="4" name="TextBox 3">
          <a:extLst xmlns:a="http://schemas.openxmlformats.org/drawingml/2006/main">
            <a:ext uri="{FF2B5EF4-FFF2-40B4-BE49-F238E27FC236}">
              <a16:creationId xmlns:a16="http://schemas.microsoft.com/office/drawing/2014/main" id="{2BFE331A-93D4-C82A-83C0-5785FF2FA579}"/>
            </a:ext>
          </a:extLst>
        </cdr:cNvPr>
        <cdr:cNvSpPr txBox="1"/>
      </cdr:nvSpPr>
      <cdr:spPr>
        <a:xfrm xmlns:a="http://schemas.openxmlformats.org/drawingml/2006/main">
          <a:off x="1113236" y="1291827"/>
          <a:ext cx="244078" cy="2202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0.0907</cdr:x>
      <cdr:y>0.87685</cdr:y>
    </cdr:from>
    <cdr:to>
      <cdr:x>0.84807</cdr:x>
      <cdr:y>0.98392</cdr:y>
    </cdr:to>
    <cdr:sp macro="" textlink="">
      <cdr:nvSpPr>
        <cdr:cNvPr id="5" name="TextBox 4">
          <a:extLst xmlns:a="http://schemas.openxmlformats.org/drawingml/2006/main">
            <a:ext uri="{FF2B5EF4-FFF2-40B4-BE49-F238E27FC236}">
              <a16:creationId xmlns:a16="http://schemas.microsoft.com/office/drawing/2014/main" id="{D48D2F03-5C31-044D-DA6F-023287117744}"/>
            </a:ext>
          </a:extLst>
        </cdr:cNvPr>
        <cdr:cNvSpPr txBox="1"/>
      </cdr:nvSpPr>
      <cdr:spPr>
        <a:xfrm xmlns:a="http://schemas.openxmlformats.org/drawingml/2006/main">
          <a:off x="238125" y="1623418"/>
          <a:ext cx="1988344" cy="198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t>No.</a:t>
          </a:r>
          <a:r>
            <a:rPr lang="en-GB" sz="900" kern="1200" baseline="0"/>
            <a:t> of Patient by Department Referral</a:t>
          </a:r>
          <a:endParaRPr lang="en-GB" sz="9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561975</xdr:colOff>
      <xdr:row>4</xdr:row>
      <xdr:rowOff>57150</xdr:rowOff>
    </xdr:from>
    <xdr:to>
      <xdr:col>14</xdr:col>
      <xdr:colOff>104775</xdr:colOff>
      <xdr:row>22</xdr:row>
      <xdr:rowOff>180975</xdr:rowOff>
    </xdr:to>
    <xdr:graphicFrame macro="">
      <xdr:nvGraphicFramePr>
        <xdr:cNvPr id="2" name="Chart 1">
          <a:extLst>
            <a:ext uri="{FF2B5EF4-FFF2-40B4-BE49-F238E27FC236}">
              <a16:creationId xmlns:a16="http://schemas.microsoft.com/office/drawing/2014/main" id="{2FADB32F-844D-40E8-97E5-057989F4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228601</xdr:colOff>
      <xdr:row>0</xdr:row>
      <xdr:rowOff>19050</xdr:rowOff>
    </xdr:from>
    <xdr:to>
      <xdr:col>1</xdr:col>
      <xdr:colOff>285751</xdr:colOff>
      <xdr:row>2</xdr:row>
      <xdr:rowOff>180975</xdr:rowOff>
    </xdr:to>
    <xdr:pic>
      <xdr:nvPicPr>
        <xdr:cNvPr id="4" name="Graphic 3" descr="Home">
          <a:hlinkClick xmlns:r="http://schemas.openxmlformats.org/officeDocument/2006/relationships" r:id="rId2"/>
          <a:extLst>
            <a:ext uri="{FF2B5EF4-FFF2-40B4-BE49-F238E27FC236}">
              <a16:creationId xmlns:a16="http://schemas.microsoft.com/office/drawing/2014/main" id="{E8DB9A80-A569-FC44-3678-E167B0B44C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1" y="19050"/>
          <a:ext cx="666750" cy="542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168088</xdr:colOff>
      <xdr:row>4</xdr:row>
      <xdr:rowOff>33617</xdr:rowOff>
    </xdr:from>
    <xdr:to>
      <xdr:col>16</xdr:col>
      <xdr:colOff>593912</xdr:colOff>
      <xdr:row>31</xdr:row>
      <xdr:rowOff>123264</xdr:rowOff>
    </xdr:to>
    <xdr:graphicFrame macro="">
      <xdr:nvGraphicFramePr>
        <xdr:cNvPr id="2" name="Chart 1">
          <a:extLst>
            <a:ext uri="{FF2B5EF4-FFF2-40B4-BE49-F238E27FC236}">
              <a16:creationId xmlns:a16="http://schemas.microsoft.com/office/drawing/2014/main" id="{05185E18-4EE7-4E8F-9071-7BCFB27F0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56030</xdr:colOff>
      <xdr:row>0</xdr:row>
      <xdr:rowOff>89647</xdr:rowOff>
    </xdr:from>
    <xdr:to>
      <xdr:col>1</xdr:col>
      <xdr:colOff>117662</xdr:colOff>
      <xdr:row>3</xdr:row>
      <xdr:rowOff>27454</xdr:rowOff>
    </xdr:to>
    <xdr:pic>
      <xdr:nvPicPr>
        <xdr:cNvPr id="3" name="Graphic 2" descr="Home">
          <a:hlinkClick xmlns:r="http://schemas.openxmlformats.org/officeDocument/2006/relationships" r:id="rId2"/>
          <a:extLst>
            <a:ext uri="{FF2B5EF4-FFF2-40B4-BE49-F238E27FC236}">
              <a16:creationId xmlns:a16="http://schemas.microsoft.com/office/drawing/2014/main" id="{F896B8CA-E0FE-4AE4-9A52-4411B96A92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30" y="89647"/>
          <a:ext cx="666750" cy="542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56030</xdr:colOff>
      <xdr:row>0</xdr:row>
      <xdr:rowOff>89647</xdr:rowOff>
    </xdr:from>
    <xdr:to>
      <xdr:col>1</xdr:col>
      <xdr:colOff>117662</xdr:colOff>
      <xdr:row>3</xdr:row>
      <xdr:rowOff>27454</xdr:rowOff>
    </xdr:to>
    <xdr:pic>
      <xdr:nvPicPr>
        <xdr:cNvPr id="3" name="Graphic 2" descr="Home">
          <a:hlinkClick xmlns:r="http://schemas.openxmlformats.org/officeDocument/2006/relationships" r:id="rId1"/>
          <a:extLst>
            <a:ext uri="{FF2B5EF4-FFF2-40B4-BE49-F238E27FC236}">
              <a16:creationId xmlns:a16="http://schemas.microsoft.com/office/drawing/2014/main" id="{CFB61878-0D18-4DA2-A987-802F581F1E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6030" y="89647"/>
          <a:ext cx="671232" cy="537882"/>
        </a:xfrm>
        <a:prstGeom prst="rect">
          <a:avLst/>
        </a:prstGeom>
      </xdr:spPr>
    </xdr:pic>
    <xdr:clientData/>
  </xdr:twoCellAnchor>
  <xdr:twoCellAnchor>
    <xdr:from>
      <xdr:col>0</xdr:col>
      <xdr:colOff>56029</xdr:colOff>
      <xdr:row>4</xdr:row>
      <xdr:rowOff>-1</xdr:rowOff>
    </xdr:from>
    <xdr:to>
      <xdr:col>17</xdr:col>
      <xdr:colOff>437029</xdr:colOff>
      <xdr:row>29</xdr:row>
      <xdr:rowOff>112057</xdr:rowOff>
    </xdr:to>
    <xdr:graphicFrame macro="">
      <xdr:nvGraphicFramePr>
        <xdr:cNvPr id="6" name="Chart 5">
          <a:extLst>
            <a:ext uri="{FF2B5EF4-FFF2-40B4-BE49-F238E27FC236}">
              <a16:creationId xmlns:a16="http://schemas.microsoft.com/office/drawing/2014/main" id="{1240C6CD-FB91-4B75-A8C5-E78FD3BA3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27199074" createdVersion="5" refreshedVersion="8" minRefreshableVersion="3" recordCount="0" supportSubquery="1" supportAdvancedDrill="1" xr:uid="{290843E1-B13D-4E0E-9D89-773D29F28AD6}">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27546297" createdVersion="5" refreshedVersion="8" minRefreshableVersion="3" recordCount="0" supportSubquery="1" supportAdvancedDrill="1" xr:uid="{671FE38C-A304-4FD6-9FAD-4F852F3DC8AE}">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2789352" createdVersion="5" refreshedVersion="8" minRefreshableVersion="3" recordCount="0" supportSubquery="1" supportAdvancedDrill="1" xr:uid="{36805A56-38AD-4D10-893B-125851469E3B}">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28240744" createdVersion="5" refreshedVersion="8" minRefreshableVersion="3" recordCount="0" supportSubquery="1" supportAdvancedDrill="1" xr:uid="{0A60970B-BC35-4AC7-89C2-B9A885430E0A}">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29166667" createdVersion="5" refreshedVersion="8" minRefreshableVersion="3" recordCount="0" supportSubquery="1" supportAdvancedDrill="1" xr:uid="{A6BCDBF0-131F-4385-9E53-F927991AC59D}">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0092591" createdVersion="5" refreshedVersion="8" minRefreshableVersion="3" recordCount="0" supportSubquery="1" supportAdvancedDrill="1" xr:uid="{E851D2CE-3002-4A78-9EA2-68C225235C51}">
  <cacheSource type="external" connectionId="3"/>
  <cacheFields count="4">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1018515" createdVersion="5" refreshedVersion="8" minRefreshableVersion="3" recordCount="0" supportSubquery="1" supportAdvancedDrill="1" xr:uid="{010F1E47-09D3-4A7E-A661-121BE19D11BB}">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1712962" createdVersion="5" refreshedVersion="8" minRefreshableVersion="3" recordCount="0" supportSubquery="1" supportAdvancedDrill="1" xr:uid="{FB2F374D-F5DF-4E20-858E-85A0EB9F978C}">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1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2638885" createdVersion="5" refreshedVersion="8" minRefreshableVersion="3" recordCount="0" supportSubquery="1" supportAdvancedDrill="1" xr:uid="{F85F384F-3F7C-4901-BF58-FDA5B0D10ED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3333332" createdVersion="5" refreshedVersion="8" minRefreshableVersion="3" recordCount="0" supportSubquery="1" supportAdvancedDrill="1" xr:uid="{C6B97360-DDEA-4E6E-BC40-5B790B52D8B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4027778" createdVersion="5" refreshedVersion="8" minRefreshableVersion="3" recordCount="0" supportSubquery="1" supportAdvancedDrill="1" xr:uid="{0F9DC1BC-1764-4066-AE4A-61988F2EACCF}">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94834722225" createdVersion="5" refreshedVersion="8" minRefreshableVersion="3" recordCount="0" supportSubquery="1" supportAdvancedDrill="1" xr:uid="{8B347714-D626-4686-9400-86452FEF8AE2}">
  <cacheSource type="external" connectionId="3"/>
  <cacheFields count="4">
    <cacheField name="[Calender_Table].[Date (Month)].[Date (Month)]" caption="Date (Month)" numFmtId="0" hierarchy="1" level="1">
      <sharedItems count="1">
        <s v="Dec"/>
      </sharedItems>
    </cacheField>
    <cacheField name="[Calende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2.882990625003" createdVersion="3" refreshedVersion="8" minRefreshableVersion="3" recordCount="0" supportSubquery="1" supportAdvancedDrill="1" xr:uid="{5DCFDF41-C130-4670-99CB-EBBFBB0EC43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296508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51743F-16EA-4E4F-AC3B-C9FB8AC96C09}" name="PivotTable13" cacheId="1835"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48">
  <location ref="F64:F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59">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F368B2-A29C-4A40-846C-A42F7A5786DC}" name="PivotTable12" cacheId="1832"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48">
  <location ref="A76:B8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340">
      <pivotArea outline="0" collapsedLevelsAreSubtotals="1" fieldPosition="0"/>
    </format>
    <format dxfId="339">
      <pivotArea collapsedLevelsAreSubtotals="1" fieldPosition="0">
        <references count="1">
          <reference field="1" count="0"/>
        </references>
      </pivotArea>
    </format>
  </formats>
  <chartFormats count="1">
    <chartFormat chart="4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8A6AD8-BDC2-4555-978E-7A870E001DFE}" name="PivotTable11" cacheId="1829"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44">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342">
      <pivotArea outline="0" collapsedLevelsAreSubtotals="1" fieldPosition="0"/>
    </format>
    <format dxfId="341">
      <pivotArea collapsedLevelsAreSubtotals="1" fieldPosition="0">
        <references count="1">
          <reference field="1" count="0"/>
        </references>
      </pivotArea>
    </format>
  </formats>
  <chartFormats count="3">
    <chartFormat chart="42" format="4"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1" count="1" selected="0">
            <x v="0"/>
          </reference>
        </references>
      </pivotArea>
    </chartFormat>
    <chartFormat chart="4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C00FF-2E8C-4EBF-B6CD-2965661327BE}" name="PivotTable10" cacheId="1826"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39">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44">
      <pivotArea outline="0" collapsedLevelsAreSubtotals="1" fieldPosition="0"/>
    </format>
    <format dxfId="343">
      <pivotArea collapsedLevelsAreSubtotals="1" fieldPosition="0">
        <references count="1">
          <reference field="1" count="0"/>
        </references>
      </pivotArea>
    </format>
  </formats>
  <chartFormats count="3">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81F85D-111B-4F5A-80A0-715E69BAA74B}" name="PivotTable9" cacheId="1823"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33">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46">
      <pivotArea outline="0" collapsedLevelsAreSubtotals="1" fieldPosition="0"/>
    </format>
    <format dxfId="345">
      <pivotArea collapsedLevelsAreSubtotals="1" fieldPosition="0">
        <references count="1">
          <reference field="1" count="0"/>
        </references>
      </pivotArea>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495A62-66A5-416D-9EE6-071B58CD56CC}" name="PivotTable8" cacheId="1820"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chartFormat="26">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349">
      <pivotArea outline="0" collapsedLevelsAreSubtotals="1" fieldPosition="0"/>
    </format>
    <format dxfId="348">
      <pivotArea collapsedLevelsAreSubtotals="1" fieldPosition="0">
        <references count="1">
          <reference field="2" count="0"/>
        </references>
      </pivotArea>
    </format>
    <format dxfId="34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CF5E7-2797-40C9-A71C-A6DC48C7E3B1}" name="PivotTable7" cacheId="1817" applyNumberFormats="0" applyBorderFormats="0" applyFontFormats="0" applyPatternFormats="0" applyAlignmentFormats="0" applyWidthHeightFormats="1" dataCaption="Values" tag="8fe91904-aaf8-4ae9-9913-ab3c7f3cd829" updatedVersion="8" minRefreshableVersion="3" subtotalHiddenItems="1" itemPrintTitles="1" createdVersion="5" indent="0" outline="1" outlineData="1" multipleFieldFilters="0" chartFormat="50">
  <location ref="N6:O34"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350">
      <pivotArea outline="0" collapsedLevelsAreSubtotals="1" fieldPosition="0"/>
    </format>
  </formats>
  <chartFormats count="4">
    <chartFormat chart="43"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15187F-9C87-48A9-9C1A-1A9F22F5501A}" name="PivotTable6" cacheId="1814" applyNumberFormats="0" applyBorderFormats="0" applyFontFormats="0" applyPatternFormats="0" applyAlignmentFormats="0" applyWidthHeightFormats="1" dataCaption="Values" tag="8fe91904-aaf8-4ae9-9913-ab3c7f3cd829" updatedVersion="8" minRefreshableVersion="3" subtotalHiddenItems="1" itemPrintTitles="1" createdVersion="5" indent="0" outline="1" outlineData="1" multipleFieldFilters="0" chartFormat="20">
  <location ref="K6:L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51">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C308F2-AEB5-442D-80FB-4BE12A83FFE8}" name="PivotTable5" cacheId="1802" applyNumberFormats="0" applyBorderFormats="0" applyFontFormats="0" applyPatternFormats="0" applyAlignmentFormats="0" applyWidthHeightFormats="1" dataCaption="Values" tag="8fe91904-aaf8-4ae9-9913-ab3c7f3cd829" updatedVersion="8" minRefreshableVersion="3" itemPrintTitles="1" createdVersion="5" indent="0" outline="1" outlineData="1" multipleFieldFilters="0" chartFormat="8">
  <location ref="G5:H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DC519C-98CB-42EB-97D3-CCF53EA620BD}" name="PivotTable1" cacheId="1805" applyNumberFormats="0" applyBorderFormats="0" applyFontFormats="0" applyPatternFormats="0" applyAlignmentFormats="0" applyWidthHeightFormats="1" dataCaption="Values" tag="8fe91904-aaf8-4ae9-9913-ab3c7f3cd829"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EA9113-CF85-4A86-A06C-FCC65A4AC072}" name="PivotTable3" cacheId="1811"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54">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49B5AD-A93B-41BA-9BCC-90DA029D9922}" name="PivotTable2" cacheId="1808" applyNumberFormats="0" applyBorderFormats="0" applyFontFormats="0" applyPatternFormats="0" applyAlignmentFormats="0" applyWidthHeightFormats="1" dataCaption="Values" tag="5a9c300e-935d-4c02-b9e8-de5e4d66ec4c"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55">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9331710-2471-4DC0-89EF-65CD2E3A2717}" sourceName="[Calende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42965089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1F1F330-F9B4-4778-845E-54EA5D405380}"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42965089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1FD59F3-1BD9-44AC-851F-94057BE23479}" cache="Slicer_Date__Month" caption="Date (Month)" showCaption="0" level="1" style="My Style" rowHeight="144000"/>
  <slicer name="Date (Year)" xr10:uid="{A3F5295B-4944-46E5-86A9-A5E9EB7A5C41}" cache="Slicer_Date__Year" caption="Date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5029-59A1-4BF8-9DEA-86925F6B02A1}">
  <dimension ref="A4:O85"/>
  <sheetViews>
    <sheetView topLeftCell="A20" zoomScaleNormal="100" workbookViewId="0">
      <selection activeCell="F65" sqref="F65"/>
    </sheetView>
  </sheetViews>
  <sheetFormatPr defaultRowHeight="15" x14ac:dyDescent="0.25"/>
  <cols>
    <col min="1" max="1" width="25.140625" bestFit="1" customWidth="1"/>
    <col min="2" max="2" width="35.5703125" customWidth="1"/>
    <col min="3" max="3" width="30.5703125" customWidth="1"/>
    <col min="5" max="5" width="16" customWidth="1"/>
    <col min="6" max="6" width="19.85546875" customWidth="1"/>
    <col min="7" max="7" width="8.5703125" customWidth="1"/>
    <col min="8" max="8" width="15.5703125" customWidth="1"/>
    <col min="9" max="9" width="6.5703125" customWidth="1"/>
    <col min="10" max="10" width="9" customWidth="1"/>
    <col min="11" max="11" width="10.28515625" customWidth="1"/>
    <col min="12" max="12" width="12.42578125" customWidth="1"/>
  </cols>
  <sheetData>
    <row r="4" spans="1:15" x14ac:dyDescent="0.25">
      <c r="A4" t="s">
        <v>1</v>
      </c>
      <c r="G4" t="s">
        <v>40</v>
      </c>
    </row>
    <row r="5" spans="1:15" x14ac:dyDescent="0.25">
      <c r="A5" t="s">
        <v>0</v>
      </c>
      <c r="G5" s="3" t="s">
        <v>5</v>
      </c>
      <c r="H5" t="s">
        <v>0</v>
      </c>
      <c r="K5" t="s">
        <v>39</v>
      </c>
      <c r="N5" t="s">
        <v>42</v>
      </c>
    </row>
    <row r="6" spans="1:15" x14ac:dyDescent="0.25">
      <c r="A6" s="4">
        <v>469</v>
      </c>
      <c r="G6" s="5" t="s">
        <v>8</v>
      </c>
      <c r="H6" s="4">
        <v>12</v>
      </c>
      <c r="K6" s="3" t="s">
        <v>5</v>
      </c>
      <c r="L6" t="s">
        <v>2</v>
      </c>
      <c r="N6" s="3" t="s">
        <v>5</v>
      </c>
      <c r="O6" t="s">
        <v>4</v>
      </c>
    </row>
    <row r="7" spans="1:15" x14ac:dyDescent="0.25">
      <c r="G7" s="5" t="s">
        <v>9</v>
      </c>
      <c r="H7" s="4">
        <v>19</v>
      </c>
      <c r="K7" s="5" t="s">
        <v>8</v>
      </c>
      <c r="L7" s="1">
        <v>31.833333333333332</v>
      </c>
      <c r="N7" s="5" t="s">
        <v>9</v>
      </c>
      <c r="O7" s="1">
        <v>4.5999999999999996</v>
      </c>
    </row>
    <row r="8" spans="1:15" x14ac:dyDescent="0.25">
      <c r="A8" t="s">
        <v>3</v>
      </c>
      <c r="G8" s="5" t="s">
        <v>10</v>
      </c>
      <c r="H8" s="4">
        <v>17</v>
      </c>
      <c r="K8" s="5" t="s">
        <v>9</v>
      </c>
      <c r="L8" s="1">
        <v>39.368421052631582</v>
      </c>
      <c r="N8" s="5" t="s">
        <v>10</v>
      </c>
      <c r="O8" s="1">
        <v>4.5999999999999996</v>
      </c>
    </row>
    <row r="9" spans="1:15" x14ac:dyDescent="0.25">
      <c r="A9" t="s">
        <v>2</v>
      </c>
      <c r="G9" s="5" t="s">
        <v>11</v>
      </c>
      <c r="H9" s="4">
        <v>20</v>
      </c>
      <c r="K9" s="5" t="s">
        <v>10</v>
      </c>
      <c r="L9" s="1">
        <v>32.352941176470587</v>
      </c>
      <c r="N9" s="5" t="s">
        <v>11</v>
      </c>
      <c r="O9" s="1">
        <v>5.666666666666667</v>
      </c>
    </row>
    <row r="10" spans="1:15" x14ac:dyDescent="0.25">
      <c r="A10" s="1">
        <v>35.044776119402982</v>
      </c>
      <c r="G10" s="5" t="s">
        <v>12</v>
      </c>
      <c r="H10" s="4">
        <v>15</v>
      </c>
      <c r="K10" s="5" t="s">
        <v>11</v>
      </c>
      <c r="L10" s="1">
        <v>34.049999999999997</v>
      </c>
      <c r="N10" s="5" t="s">
        <v>12</v>
      </c>
      <c r="O10" s="1">
        <v>3.4</v>
      </c>
    </row>
    <row r="11" spans="1:15" x14ac:dyDescent="0.25">
      <c r="G11" s="5" t="s">
        <v>13</v>
      </c>
      <c r="H11" s="4">
        <v>17</v>
      </c>
      <c r="K11" s="5" t="s">
        <v>12</v>
      </c>
      <c r="L11" s="1">
        <v>31.8</v>
      </c>
      <c r="N11" s="5" t="s">
        <v>13</v>
      </c>
      <c r="O11" s="1">
        <v>4.333333333333333</v>
      </c>
    </row>
    <row r="12" spans="1:15" x14ac:dyDescent="0.25">
      <c r="A12" t="s">
        <v>4</v>
      </c>
      <c r="G12" s="5" t="s">
        <v>14</v>
      </c>
      <c r="H12" s="4">
        <v>16</v>
      </c>
      <c r="K12" s="5" t="s">
        <v>13</v>
      </c>
      <c r="L12" s="1">
        <v>37.823529411764703</v>
      </c>
      <c r="N12" s="5" t="s">
        <v>14</v>
      </c>
      <c r="O12" s="1">
        <v>4.4000000000000004</v>
      </c>
    </row>
    <row r="13" spans="1:15" x14ac:dyDescent="0.25">
      <c r="A13" s="1">
        <v>4.6269841269841274</v>
      </c>
      <c r="G13" s="5" t="s">
        <v>15</v>
      </c>
      <c r="H13" s="4">
        <v>10</v>
      </c>
      <c r="K13" s="5" t="s">
        <v>14</v>
      </c>
      <c r="L13" s="1">
        <v>31.875</v>
      </c>
      <c r="N13" s="5" t="s">
        <v>15</v>
      </c>
      <c r="O13" s="1">
        <v>4.25</v>
      </c>
    </row>
    <row r="14" spans="1:15" x14ac:dyDescent="0.25">
      <c r="G14" s="5" t="s">
        <v>16</v>
      </c>
      <c r="H14" s="4">
        <v>15</v>
      </c>
      <c r="K14" s="5" t="s">
        <v>15</v>
      </c>
      <c r="L14" s="1">
        <v>27.3</v>
      </c>
      <c r="N14" s="5" t="s">
        <v>16</v>
      </c>
      <c r="O14" s="1">
        <v>4.5999999999999996</v>
      </c>
    </row>
    <row r="15" spans="1:15" x14ac:dyDescent="0.25">
      <c r="G15" s="5" t="s">
        <v>17</v>
      </c>
      <c r="H15" s="4">
        <v>14</v>
      </c>
      <c r="K15" s="5" t="s">
        <v>16</v>
      </c>
      <c r="L15" s="1">
        <v>31.933333333333334</v>
      </c>
      <c r="N15" s="5" t="s">
        <v>18</v>
      </c>
      <c r="O15" s="1">
        <v>2.3333333333333335</v>
      </c>
    </row>
    <row r="16" spans="1:15" x14ac:dyDescent="0.25">
      <c r="G16" s="5" t="s">
        <v>18</v>
      </c>
      <c r="H16" s="4">
        <v>16</v>
      </c>
      <c r="K16" s="5" t="s">
        <v>17</v>
      </c>
      <c r="L16" s="1">
        <v>30.5</v>
      </c>
      <c r="N16" s="5" t="s">
        <v>19</v>
      </c>
      <c r="O16" s="1">
        <v>9</v>
      </c>
    </row>
    <row r="17" spans="7:15" x14ac:dyDescent="0.25">
      <c r="G17" s="5" t="s">
        <v>19</v>
      </c>
      <c r="H17" s="4">
        <v>12</v>
      </c>
      <c r="K17" s="5" t="s">
        <v>18</v>
      </c>
      <c r="L17" s="1">
        <v>38.0625</v>
      </c>
      <c r="N17" s="5" t="s">
        <v>20</v>
      </c>
      <c r="O17" s="1">
        <v>2.75</v>
      </c>
    </row>
    <row r="18" spans="7:15" x14ac:dyDescent="0.25">
      <c r="G18" s="5" t="s">
        <v>20</v>
      </c>
      <c r="H18" s="4">
        <v>12</v>
      </c>
      <c r="K18" s="5" t="s">
        <v>19</v>
      </c>
      <c r="L18" s="1">
        <v>36.333333333333336</v>
      </c>
      <c r="N18" s="5" t="s">
        <v>21</v>
      </c>
      <c r="O18" s="1">
        <v>6.8888888888888893</v>
      </c>
    </row>
    <row r="19" spans="7:15" x14ac:dyDescent="0.25">
      <c r="G19" s="5" t="s">
        <v>21</v>
      </c>
      <c r="H19" s="4">
        <v>13</v>
      </c>
      <c r="K19" s="5" t="s">
        <v>20</v>
      </c>
      <c r="L19" s="1">
        <v>27</v>
      </c>
      <c r="N19" s="5" t="s">
        <v>22</v>
      </c>
      <c r="O19" s="1">
        <v>5</v>
      </c>
    </row>
    <row r="20" spans="7:15" x14ac:dyDescent="0.25">
      <c r="G20" s="5" t="s">
        <v>22</v>
      </c>
      <c r="H20" s="4">
        <v>20</v>
      </c>
      <c r="K20" s="5" t="s">
        <v>21</v>
      </c>
      <c r="L20" s="1">
        <v>37.46153846153846</v>
      </c>
      <c r="N20" s="5" t="s">
        <v>23</v>
      </c>
      <c r="O20" s="1">
        <v>4.166666666666667</v>
      </c>
    </row>
    <row r="21" spans="7:15" x14ac:dyDescent="0.25">
      <c r="G21" s="5" t="s">
        <v>23</v>
      </c>
      <c r="H21" s="4">
        <v>17</v>
      </c>
      <c r="K21" s="5" t="s">
        <v>22</v>
      </c>
      <c r="L21" s="1">
        <v>39.25</v>
      </c>
      <c r="N21" s="5" t="s">
        <v>24</v>
      </c>
      <c r="O21" s="1">
        <v>2.5</v>
      </c>
    </row>
    <row r="22" spans="7:15" x14ac:dyDescent="0.25">
      <c r="G22" s="5" t="s">
        <v>24</v>
      </c>
      <c r="H22" s="4">
        <v>10</v>
      </c>
      <c r="K22" s="5" t="s">
        <v>23</v>
      </c>
      <c r="L22" s="1">
        <v>33.647058823529413</v>
      </c>
      <c r="N22" s="5" t="s">
        <v>25</v>
      </c>
      <c r="O22" s="1">
        <v>6</v>
      </c>
    </row>
    <row r="23" spans="7:15" x14ac:dyDescent="0.25">
      <c r="G23" s="5" t="s">
        <v>25</v>
      </c>
      <c r="H23" s="4">
        <v>16</v>
      </c>
      <c r="K23" s="5" t="s">
        <v>24</v>
      </c>
      <c r="L23" s="1">
        <v>42.2</v>
      </c>
      <c r="N23" s="5" t="s">
        <v>26</v>
      </c>
      <c r="O23" s="1">
        <v>3.8</v>
      </c>
    </row>
    <row r="24" spans="7:15" x14ac:dyDescent="0.25">
      <c r="G24" s="5" t="s">
        <v>26</v>
      </c>
      <c r="H24" s="4">
        <v>13</v>
      </c>
      <c r="K24" s="5" t="s">
        <v>25</v>
      </c>
      <c r="L24" s="1">
        <v>33.3125</v>
      </c>
      <c r="N24" s="5" t="s">
        <v>27</v>
      </c>
      <c r="O24" s="1">
        <v>3.6</v>
      </c>
    </row>
    <row r="25" spans="7:15" x14ac:dyDescent="0.25">
      <c r="G25" s="5" t="s">
        <v>27</v>
      </c>
      <c r="H25" s="4">
        <v>16</v>
      </c>
      <c r="K25" s="5" t="s">
        <v>26</v>
      </c>
      <c r="L25" s="1">
        <v>25.76923076923077</v>
      </c>
      <c r="N25" s="5" t="s">
        <v>29</v>
      </c>
      <c r="O25" s="1">
        <v>5.8571428571428568</v>
      </c>
    </row>
    <row r="26" spans="7:15" x14ac:dyDescent="0.25">
      <c r="G26" s="5" t="s">
        <v>28</v>
      </c>
      <c r="H26" s="4">
        <v>18</v>
      </c>
      <c r="K26" s="5" t="s">
        <v>27</v>
      </c>
      <c r="L26" s="1">
        <v>37.125</v>
      </c>
      <c r="N26" s="5" t="s">
        <v>30</v>
      </c>
      <c r="O26" s="1">
        <v>6.25</v>
      </c>
    </row>
    <row r="27" spans="7:15" x14ac:dyDescent="0.25">
      <c r="G27" s="5" t="s">
        <v>29</v>
      </c>
      <c r="H27" s="4">
        <v>21</v>
      </c>
      <c r="K27" s="5" t="s">
        <v>28</v>
      </c>
      <c r="L27" s="1">
        <v>37</v>
      </c>
      <c r="N27" s="5" t="s">
        <v>31</v>
      </c>
      <c r="O27" s="1">
        <v>4.666666666666667</v>
      </c>
    </row>
    <row r="28" spans="7:15" x14ac:dyDescent="0.25">
      <c r="G28" s="5" t="s">
        <v>30</v>
      </c>
      <c r="H28" s="4">
        <v>15</v>
      </c>
      <c r="K28" s="5" t="s">
        <v>29</v>
      </c>
      <c r="L28" s="1">
        <v>36.80952380952381</v>
      </c>
      <c r="N28" s="5" t="s">
        <v>32</v>
      </c>
      <c r="O28" s="1">
        <v>0</v>
      </c>
    </row>
    <row r="29" spans="7:15" x14ac:dyDescent="0.25">
      <c r="G29" s="5" t="s">
        <v>31</v>
      </c>
      <c r="H29" s="4">
        <v>18</v>
      </c>
      <c r="K29" s="5" t="s">
        <v>30</v>
      </c>
      <c r="L29" s="1">
        <v>39.799999999999997</v>
      </c>
      <c r="N29" s="5" t="s">
        <v>33</v>
      </c>
      <c r="O29" s="1">
        <v>4.666666666666667</v>
      </c>
    </row>
    <row r="30" spans="7:15" x14ac:dyDescent="0.25">
      <c r="G30" s="5" t="s">
        <v>32</v>
      </c>
      <c r="H30" s="4">
        <v>15</v>
      </c>
      <c r="K30" s="5" t="s">
        <v>31</v>
      </c>
      <c r="L30" s="1">
        <v>38</v>
      </c>
      <c r="N30" s="5" t="s">
        <v>34</v>
      </c>
      <c r="O30" s="1">
        <v>2.8</v>
      </c>
    </row>
    <row r="31" spans="7:15" x14ac:dyDescent="0.25">
      <c r="G31" s="5" t="s">
        <v>33</v>
      </c>
      <c r="H31" s="4">
        <v>18</v>
      </c>
      <c r="K31" s="5" t="s">
        <v>32</v>
      </c>
      <c r="L31" s="1">
        <v>36.133333333333333</v>
      </c>
      <c r="N31" s="5" t="s">
        <v>35</v>
      </c>
      <c r="O31" s="1">
        <v>4.2</v>
      </c>
    </row>
    <row r="32" spans="7:15" x14ac:dyDescent="0.25">
      <c r="G32" s="5" t="s">
        <v>34</v>
      </c>
      <c r="H32" s="4">
        <v>19</v>
      </c>
      <c r="K32" s="5" t="s">
        <v>33</v>
      </c>
      <c r="L32" s="1">
        <v>36.555555555555557</v>
      </c>
      <c r="N32" s="5" t="s">
        <v>36</v>
      </c>
      <c r="O32" s="1">
        <v>2.5</v>
      </c>
    </row>
    <row r="33" spans="1:15" x14ac:dyDescent="0.25">
      <c r="G33" s="5" t="s">
        <v>35</v>
      </c>
      <c r="H33" s="4">
        <v>16</v>
      </c>
      <c r="K33" s="5" t="s">
        <v>34</v>
      </c>
      <c r="L33" s="1">
        <v>39.210526315789473</v>
      </c>
      <c r="N33" s="5" t="s">
        <v>37</v>
      </c>
      <c r="O33" s="1">
        <v>5</v>
      </c>
    </row>
    <row r="34" spans="1:15" x14ac:dyDescent="0.25">
      <c r="G34" s="5" t="s">
        <v>36</v>
      </c>
      <c r="H34" s="4">
        <v>13</v>
      </c>
      <c r="K34" s="5" t="s">
        <v>35</v>
      </c>
      <c r="L34" s="1">
        <v>31.1875</v>
      </c>
      <c r="N34" s="5" t="s">
        <v>6</v>
      </c>
      <c r="O34" s="1">
        <v>4.6269841269841274</v>
      </c>
    </row>
    <row r="35" spans="1:15" x14ac:dyDescent="0.25">
      <c r="G35" s="5" t="s">
        <v>37</v>
      </c>
      <c r="H35" s="4">
        <v>16</v>
      </c>
      <c r="K35" s="5" t="s">
        <v>36</v>
      </c>
      <c r="L35" s="1">
        <v>35.153846153846153</v>
      </c>
    </row>
    <row r="36" spans="1:15" x14ac:dyDescent="0.25">
      <c r="G36" s="5" t="s">
        <v>6</v>
      </c>
      <c r="H36" s="4">
        <v>469</v>
      </c>
      <c r="K36" s="5" t="s">
        <v>37</v>
      </c>
      <c r="L36" s="1">
        <v>34.25</v>
      </c>
    </row>
    <row r="37" spans="1:15" x14ac:dyDescent="0.25">
      <c r="K37" s="5" t="s">
        <v>6</v>
      </c>
      <c r="L37" s="1">
        <v>35.044776119402982</v>
      </c>
    </row>
    <row r="42" spans="1:15" x14ac:dyDescent="0.25">
      <c r="A42" s="3" t="s">
        <v>5</v>
      </c>
      <c r="B42" t="s">
        <v>44</v>
      </c>
      <c r="C42" t="s">
        <v>67</v>
      </c>
      <c r="E42" s="14" t="s">
        <v>68</v>
      </c>
      <c r="F42" s="14" t="s">
        <v>69</v>
      </c>
      <c r="G42" s="14" t="s">
        <v>70</v>
      </c>
      <c r="H42" s="14"/>
      <c r="I42" s="14"/>
      <c r="J42" s="15"/>
      <c r="K42" s="15"/>
    </row>
    <row r="43" spans="1:15" x14ac:dyDescent="0.25">
      <c r="A43" s="5" t="s">
        <v>45</v>
      </c>
      <c r="B43" s="11">
        <v>217</v>
      </c>
      <c r="C43" s="12">
        <v>0.46268656716417911</v>
      </c>
      <c r="E43" s="7" t="str">
        <f>A44</f>
        <v>Not Admitted</v>
      </c>
      <c r="F43" s="7">
        <f t="shared" ref="F43:G43" si="0">B44</f>
        <v>252</v>
      </c>
      <c r="G43" s="13">
        <f t="shared" si="0"/>
        <v>0.53731343283582089</v>
      </c>
      <c r="H43" s="7"/>
      <c r="I43" s="7"/>
      <c r="J43" s="15"/>
      <c r="K43" s="15"/>
    </row>
    <row r="44" spans="1:15" x14ac:dyDescent="0.25">
      <c r="A44" s="5" t="s">
        <v>46</v>
      </c>
      <c r="B44" s="11">
        <v>252</v>
      </c>
      <c r="C44" s="12">
        <v>0.53731343283582089</v>
      </c>
      <c r="E44" s="7" t="str">
        <f>A43</f>
        <v>Admitted</v>
      </c>
      <c r="F44" s="7">
        <f t="shared" ref="F44:G44" si="1">B43</f>
        <v>217</v>
      </c>
      <c r="G44" s="13">
        <f t="shared" si="1"/>
        <v>0.46268656716417911</v>
      </c>
      <c r="H44" s="7"/>
      <c r="I44" s="7"/>
      <c r="J44" s="15"/>
      <c r="K44" s="15"/>
    </row>
    <row r="45" spans="1:15" x14ac:dyDescent="0.25">
      <c r="A45" s="5" t="s">
        <v>6</v>
      </c>
      <c r="B45" s="1">
        <v>469</v>
      </c>
      <c r="C45" s="12">
        <v>1</v>
      </c>
      <c r="E45" s="7"/>
      <c r="F45" s="7"/>
      <c r="G45" s="7"/>
      <c r="H45" s="7"/>
      <c r="I45" s="7"/>
      <c r="J45" s="15"/>
      <c r="K45" s="15"/>
    </row>
    <row r="46" spans="1:15" x14ac:dyDescent="0.25">
      <c r="E46" s="7"/>
      <c r="F46" s="7"/>
      <c r="G46" s="7"/>
      <c r="H46" s="7"/>
      <c r="I46" s="7"/>
      <c r="J46" s="15"/>
      <c r="K46" s="15"/>
    </row>
    <row r="49" spans="1:6" x14ac:dyDescent="0.25">
      <c r="A49" t="s">
        <v>72</v>
      </c>
    </row>
    <row r="50" spans="1:6" x14ac:dyDescent="0.25">
      <c r="A50" s="3" t="s">
        <v>5</v>
      </c>
      <c r="B50" t="s">
        <v>71</v>
      </c>
    </row>
    <row r="51" spans="1:6" x14ac:dyDescent="0.25">
      <c r="A51" s="5" t="s">
        <v>58</v>
      </c>
      <c r="B51" s="11">
        <v>59</v>
      </c>
    </row>
    <row r="52" spans="1:6" x14ac:dyDescent="0.25">
      <c r="A52" s="5" t="s">
        <v>55</v>
      </c>
      <c r="B52" s="11">
        <v>57</v>
      </c>
    </row>
    <row r="53" spans="1:6" x14ac:dyDescent="0.25">
      <c r="A53" s="5" t="s">
        <v>51</v>
      </c>
      <c r="B53" s="11">
        <v>69</v>
      </c>
    </row>
    <row r="54" spans="1:6" x14ac:dyDescent="0.25">
      <c r="A54" s="5" t="s">
        <v>49</v>
      </c>
      <c r="B54" s="11">
        <v>62</v>
      </c>
    </row>
    <row r="55" spans="1:6" x14ac:dyDescent="0.25">
      <c r="A55" s="5" t="s">
        <v>52</v>
      </c>
      <c r="B55" s="11">
        <v>54</v>
      </c>
    </row>
    <row r="56" spans="1:6" x14ac:dyDescent="0.25">
      <c r="A56" s="5" t="s">
        <v>56</v>
      </c>
      <c r="B56" s="11">
        <v>57</v>
      </c>
    </row>
    <row r="57" spans="1:6" x14ac:dyDescent="0.25">
      <c r="A57" s="5" t="s">
        <v>54</v>
      </c>
      <c r="B57" s="11">
        <v>54</v>
      </c>
    </row>
    <row r="58" spans="1:6" x14ac:dyDescent="0.25">
      <c r="A58" s="5" t="s">
        <v>59</v>
      </c>
      <c r="B58" s="11">
        <v>57</v>
      </c>
    </row>
    <row r="59" spans="1:6" x14ac:dyDescent="0.25">
      <c r="A59" s="5" t="s">
        <v>6</v>
      </c>
      <c r="B59" s="1">
        <v>469</v>
      </c>
    </row>
    <row r="62" spans="1:6" x14ac:dyDescent="0.25">
      <c r="A62" s="5" t="s">
        <v>74</v>
      </c>
    </row>
    <row r="63" spans="1:6" x14ac:dyDescent="0.25">
      <c r="A63" s="3" t="s">
        <v>5</v>
      </c>
      <c r="B63" t="s">
        <v>73</v>
      </c>
    </row>
    <row r="64" spans="1:6" x14ac:dyDescent="0.25">
      <c r="A64" s="5" t="s">
        <v>50</v>
      </c>
      <c r="B64" s="11">
        <v>268</v>
      </c>
      <c r="F64" s="3" t="s">
        <v>5</v>
      </c>
    </row>
    <row r="65" spans="1:6" x14ac:dyDescent="0.25">
      <c r="A65" s="5" t="s">
        <v>53</v>
      </c>
      <c r="B65" s="11">
        <v>201</v>
      </c>
      <c r="F65" s="5" t="s">
        <v>7</v>
      </c>
    </row>
    <row r="66" spans="1:6" x14ac:dyDescent="0.25">
      <c r="A66" s="5" t="s">
        <v>6</v>
      </c>
      <c r="B66" s="1">
        <v>469</v>
      </c>
      <c r="F66" s="5" t="s">
        <v>6</v>
      </c>
    </row>
    <row r="69" spans="1:6" x14ac:dyDescent="0.25">
      <c r="A69" s="5" t="s">
        <v>76</v>
      </c>
    </row>
    <row r="70" spans="1:6" x14ac:dyDescent="0.25">
      <c r="A70" s="3" t="s">
        <v>5</v>
      </c>
      <c r="B70" t="s">
        <v>75</v>
      </c>
    </row>
    <row r="71" spans="1:6" x14ac:dyDescent="0.25">
      <c r="A71" s="5" t="s">
        <v>57</v>
      </c>
      <c r="B71" s="11">
        <v>241</v>
      </c>
    </row>
    <row r="72" spans="1:6" x14ac:dyDescent="0.25">
      <c r="A72" s="5" t="s">
        <v>47</v>
      </c>
      <c r="B72" s="11">
        <v>228</v>
      </c>
    </row>
    <row r="73" spans="1:6" x14ac:dyDescent="0.25">
      <c r="A73" s="5" t="s">
        <v>6</v>
      </c>
      <c r="B73" s="1">
        <v>469</v>
      </c>
    </row>
    <row r="76" spans="1:6" x14ac:dyDescent="0.25">
      <c r="A76" s="3" t="s">
        <v>5</v>
      </c>
      <c r="B76" t="s">
        <v>77</v>
      </c>
    </row>
    <row r="77" spans="1:6" x14ac:dyDescent="0.25">
      <c r="A77" s="5" t="s">
        <v>66</v>
      </c>
      <c r="B77" s="11">
        <v>3</v>
      </c>
    </row>
    <row r="78" spans="1:6" x14ac:dyDescent="0.25">
      <c r="A78" s="5" t="s">
        <v>65</v>
      </c>
      <c r="B78" s="11">
        <v>8</v>
      </c>
    </row>
    <row r="79" spans="1:6" x14ac:dyDescent="0.25">
      <c r="A79" s="5" t="s">
        <v>64</v>
      </c>
      <c r="B79" s="11">
        <v>10</v>
      </c>
    </row>
    <row r="80" spans="1:6" x14ac:dyDescent="0.25">
      <c r="A80" s="5" t="s">
        <v>63</v>
      </c>
      <c r="B80" s="11">
        <v>13</v>
      </c>
    </row>
    <row r="81" spans="1:2" x14ac:dyDescent="0.25">
      <c r="A81" s="5" t="s">
        <v>62</v>
      </c>
      <c r="B81" s="11">
        <v>15</v>
      </c>
    </row>
    <row r="82" spans="1:2" x14ac:dyDescent="0.25">
      <c r="A82" s="5" t="s">
        <v>61</v>
      </c>
      <c r="B82" s="11">
        <v>44</v>
      </c>
    </row>
    <row r="83" spans="1:2" x14ac:dyDescent="0.25">
      <c r="A83" s="5" t="s">
        <v>60</v>
      </c>
      <c r="B83" s="11">
        <v>92</v>
      </c>
    </row>
    <row r="84" spans="1:2" x14ac:dyDescent="0.25">
      <c r="A84" s="5" t="s">
        <v>48</v>
      </c>
      <c r="B84" s="11">
        <v>284</v>
      </c>
    </row>
    <row r="85" spans="1:2" x14ac:dyDescent="0.25">
      <c r="A85" s="5" t="s">
        <v>6</v>
      </c>
      <c r="B85" s="1">
        <v>469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AAC0D-1312-4D7B-BE64-2D366FD2A89E}">
  <dimension ref="A1:M16"/>
  <sheetViews>
    <sheetView tabSelected="1" zoomScale="160" zoomScaleNormal="160" workbookViewId="0">
      <selection activeCell="L17" sqref="L17"/>
    </sheetView>
  </sheetViews>
  <sheetFormatPr defaultRowHeight="15" x14ac:dyDescent="0.25"/>
  <sheetData>
    <row r="1" spans="1:13" x14ac:dyDescent="0.25">
      <c r="A1" s="2"/>
      <c r="B1" s="2"/>
      <c r="C1" s="2"/>
      <c r="D1" s="2"/>
      <c r="E1" s="2"/>
      <c r="F1" s="2"/>
      <c r="G1" s="2"/>
      <c r="H1" s="2"/>
      <c r="I1" s="2"/>
      <c r="J1" s="2"/>
      <c r="K1" s="2"/>
      <c r="L1" s="2"/>
      <c r="M1" s="2"/>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FF35-A8DC-43D6-83A5-CA63244F2DC0}">
  <dimension ref="A1:O26"/>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c r="D19" s="6"/>
      <c r="E19" s="6"/>
      <c r="F19" s="6"/>
      <c r="G19" s="6"/>
      <c r="H19" s="6"/>
      <c r="I19" s="6"/>
      <c r="J19" s="6"/>
      <c r="K19" s="6"/>
      <c r="L19" s="6"/>
      <c r="M19" s="6"/>
      <c r="N19" s="6"/>
      <c r="O19" s="6"/>
    </row>
    <row r="20" spans="1:15" x14ac:dyDescent="0.25">
      <c r="A20" s="6"/>
      <c r="B20" s="6"/>
      <c r="C20" s="6"/>
      <c r="D20" s="6"/>
      <c r="E20" s="6"/>
      <c r="F20" s="6"/>
      <c r="G20" s="6"/>
      <c r="H20" s="6"/>
      <c r="I20" s="6"/>
      <c r="J20" s="6"/>
      <c r="K20" s="6"/>
      <c r="L20" s="6"/>
      <c r="M20" s="6"/>
      <c r="N20" s="6"/>
      <c r="O20" s="6"/>
    </row>
    <row r="21" spans="1:15" x14ac:dyDescent="0.25">
      <c r="A21" s="6"/>
      <c r="B21" s="6"/>
      <c r="C21" s="6"/>
      <c r="D21" s="6"/>
      <c r="E21" s="6"/>
      <c r="F21" s="6"/>
      <c r="G21" s="6"/>
      <c r="H21" s="6"/>
      <c r="I21" s="6"/>
      <c r="J21" s="6"/>
      <c r="K21" s="6"/>
      <c r="L21" s="6"/>
      <c r="M21" s="6"/>
      <c r="N21" s="6"/>
      <c r="O21" s="6"/>
    </row>
    <row r="22" spans="1:15" x14ac:dyDescent="0.25">
      <c r="A22" s="6"/>
      <c r="B22" s="6"/>
      <c r="C22" s="6"/>
      <c r="D22" s="6"/>
      <c r="E22" s="6"/>
      <c r="F22" s="6"/>
      <c r="G22" s="6"/>
      <c r="H22" s="6"/>
      <c r="I22" s="6"/>
      <c r="J22" s="6"/>
      <c r="K22" s="6"/>
      <c r="L22" s="6"/>
      <c r="M22" s="6"/>
      <c r="N22" s="6"/>
      <c r="O22" s="6"/>
    </row>
    <row r="23" spans="1:15" x14ac:dyDescent="0.25">
      <c r="A23" s="6"/>
      <c r="B23" s="6"/>
      <c r="C23" s="6"/>
      <c r="D23" s="6"/>
      <c r="E23" s="6"/>
      <c r="F23" s="6"/>
      <c r="G23" s="6"/>
      <c r="H23" s="6"/>
      <c r="I23" s="6"/>
      <c r="J23" s="6"/>
      <c r="K23" s="6"/>
      <c r="L23" s="6"/>
      <c r="M23" s="6"/>
      <c r="N23" s="6"/>
      <c r="O23" s="6"/>
    </row>
    <row r="24" spans="1:15" x14ac:dyDescent="0.25">
      <c r="A24" s="6"/>
      <c r="B24" s="6"/>
      <c r="C24" s="6"/>
      <c r="D24" s="6"/>
      <c r="E24" s="6"/>
      <c r="F24" s="6"/>
      <c r="G24" s="6"/>
      <c r="H24" s="6"/>
      <c r="I24" s="6"/>
      <c r="J24" s="6"/>
      <c r="K24" s="6"/>
      <c r="L24" s="6"/>
      <c r="M24" s="6"/>
      <c r="N24" s="6"/>
      <c r="O24" s="6"/>
    </row>
    <row r="25" spans="1:15" x14ac:dyDescent="0.25">
      <c r="A25" s="6"/>
      <c r="B25" s="6" t="s">
        <v>38</v>
      </c>
      <c r="C25" s="6"/>
      <c r="D25" s="6"/>
      <c r="E25" s="6"/>
      <c r="F25" s="6"/>
      <c r="G25" s="6"/>
      <c r="H25" s="6"/>
      <c r="I25" s="6"/>
      <c r="J25" s="6"/>
      <c r="K25" s="6"/>
      <c r="L25" s="6"/>
      <c r="M25" s="6"/>
      <c r="N25" s="6"/>
      <c r="O25" s="6"/>
    </row>
    <row r="26" spans="1:15" x14ac:dyDescent="0.25">
      <c r="A26" s="6"/>
      <c r="B26" s="6"/>
      <c r="C26" s="6"/>
      <c r="D26" s="6"/>
      <c r="E26" s="6"/>
      <c r="F26" s="6"/>
      <c r="G26" s="6"/>
      <c r="H26" s="6"/>
      <c r="I26" s="6"/>
      <c r="J26" s="6"/>
      <c r="K26" s="6"/>
      <c r="L26" s="6"/>
      <c r="M26" s="6"/>
      <c r="N26" s="6"/>
      <c r="O26"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FE060-7E56-41A2-AB79-6F28026594FD}">
  <dimension ref="A1:AF36"/>
  <sheetViews>
    <sheetView zoomScale="85" zoomScaleNormal="85" workbookViewId="0"/>
  </sheetViews>
  <sheetFormatPr defaultRowHeight="15" x14ac:dyDescent="0.25"/>
  <sheetData>
    <row r="1" spans="1:19" ht="15.75" x14ac:dyDescent="0.25">
      <c r="A1" s="8"/>
      <c r="B1" s="8"/>
      <c r="C1" s="8"/>
      <c r="D1" s="8"/>
      <c r="E1" s="8"/>
      <c r="F1" s="8"/>
      <c r="G1" s="8"/>
      <c r="H1" s="8"/>
      <c r="I1" s="8"/>
      <c r="J1" s="8"/>
      <c r="K1" s="8"/>
      <c r="L1" s="8"/>
      <c r="M1" s="8"/>
      <c r="N1" s="8"/>
      <c r="O1" s="8"/>
      <c r="P1" s="8"/>
      <c r="Q1" s="8"/>
      <c r="R1" s="8"/>
      <c r="S1" s="8"/>
    </row>
    <row r="2" spans="1:19" ht="15.75" x14ac:dyDescent="0.25">
      <c r="A2" s="8"/>
      <c r="B2" s="8"/>
      <c r="C2" s="8"/>
      <c r="D2" s="8"/>
      <c r="E2" s="8"/>
      <c r="F2" s="8"/>
      <c r="G2" s="8"/>
      <c r="H2" s="8"/>
      <c r="I2" s="8"/>
      <c r="J2" s="8"/>
      <c r="K2" s="8"/>
      <c r="L2" s="8"/>
      <c r="M2" s="8"/>
      <c r="N2" s="8"/>
      <c r="O2" s="8"/>
      <c r="P2" s="8"/>
      <c r="Q2" s="8"/>
      <c r="R2" s="8"/>
      <c r="S2" s="8"/>
    </row>
    <row r="3" spans="1:19" ht="15.75" x14ac:dyDescent="0.25">
      <c r="A3" s="8"/>
      <c r="B3" s="8"/>
      <c r="C3" s="8"/>
      <c r="D3" s="8"/>
      <c r="E3" s="8"/>
      <c r="F3" s="8"/>
      <c r="G3" s="8"/>
      <c r="H3" s="8"/>
      <c r="I3" s="8"/>
      <c r="J3" s="8"/>
      <c r="K3" s="8"/>
      <c r="L3" s="8"/>
      <c r="M3" s="8"/>
      <c r="N3" s="8"/>
      <c r="O3" s="8"/>
      <c r="P3" s="8"/>
      <c r="Q3" s="8"/>
      <c r="R3" s="8"/>
      <c r="S3" s="8"/>
    </row>
    <row r="4" spans="1:19" ht="15.75" x14ac:dyDescent="0.25">
      <c r="A4" s="8"/>
      <c r="B4" s="8"/>
      <c r="C4" s="8"/>
      <c r="D4" s="8"/>
      <c r="E4" s="8"/>
      <c r="F4" s="8"/>
      <c r="G4" s="8"/>
      <c r="H4" s="8"/>
      <c r="I4" s="8"/>
      <c r="J4" s="8"/>
      <c r="K4" s="8"/>
      <c r="L4" s="8"/>
      <c r="M4" s="8"/>
      <c r="N4" s="8"/>
      <c r="O4" s="8"/>
      <c r="P4" s="8"/>
      <c r="Q4" s="8"/>
      <c r="R4" s="8"/>
      <c r="S4" s="8"/>
    </row>
    <row r="5" spans="1:19" ht="15.75" x14ac:dyDescent="0.25">
      <c r="A5" s="8"/>
      <c r="B5" s="8"/>
      <c r="C5" s="8"/>
      <c r="D5" s="8"/>
      <c r="E5" s="8"/>
      <c r="F5" s="8"/>
      <c r="G5" s="8"/>
      <c r="H5" s="8"/>
      <c r="I5" s="8"/>
      <c r="J5" s="8"/>
      <c r="K5" s="8"/>
      <c r="L5" s="8"/>
      <c r="M5" s="8"/>
      <c r="N5" s="8"/>
      <c r="O5" s="8"/>
      <c r="P5" s="8"/>
      <c r="Q5" s="8"/>
      <c r="R5" s="8"/>
      <c r="S5" s="8"/>
    </row>
    <row r="6" spans="1:19" ht="15.75" x14ac:dyDescent="0.25">
      <c r="A6" s="8"/>
      <c r="B6" s="8"/>
      <c r="C6" s="8"/>
      <c r="D6" s="8"/>
      <c r="E6" s="8"/>
      <c r="F6" s="8"/>
      <c r="G6" s="8"/>
      <c r="H6" s="8"/>
      <c r="I6" s="8"/>
      <c r="J6" s="8"/>
      <c r="K6" s="8"/>
      <c r="L6" s="8"/>
      <c r="M6" s="8"/>
      <c r="N6" s="8"/>
      <c r="O6" s="8"/>
      <c r="P6" s="8"/>
      <c r="Q6" s="8"/>
      <c r="R6" s="8"/>
      <c r="S6" s="8"/>
    </row>
    <row r="7" spans="1:19" ht="15.75" x14ac:dyDescent="0.25">
      <c r="A7" s="8"/>
      <c r="B7" s="8"/>
      <c r="C7" s="8"/>
      <c r="D7" s="8"/>
      <c r="E7" s="8"/>
      <c r="F7" s="8"/>
      <c r="G7" s="8"/>
      <c r="H7" s="8"/>
      <c r="I7" s="8"/>
      <c r="J7" s="8"/>
      <c r="K7" s="8"/>
      <c r="L7" s="8"/>
      <c r="M7" s="8"/>
      <c r="N7" s="8"/>
      <c r="O7" s="8"/>
      <c r="P7" s="8"/>
      <c r="Q7" s="8"/>
      <c r="R7" s="8"/>
      <c r="S7" s="8"/>
    </row>
    <row r="8" spans="1:19" ht="15.75" x14ac:dyDescent="0.25">
      <c r="A8" s="8"/>
      <c r="B8" s="8"/>
      <c r="C8" s="8"/>
      <c r="D8" s="8"/>
      <c r="E8" s="8"/>
      <c r="F8" s="8"/>
      <c r="G8" s="8"/>
      <c r="H8" s="8"/>
      <c r="I8" s="8"/>
      <c r="J8" s="8"/>
      <c r="K8" s="8"/>
      <c r="L8" s="8"/>
      <c r="M8" s="8"/>
      <c r="N8" s="8"/>
      <c r="O8" s="8"/>
      <c r="P8" s="8"/>
      <c r="Q8" s="8"/>
      <c r="R8" s="8"/>
      <c r="S8" s="8"/>
    </row>
    <row r="9" spans="1:19" ht="15.75" x14ac:dyDescent="0.25">
      <c r="A9" s="8"/>
      <c r="B9" s="8"/>
      <c r="C9" s="8"/>
      <c r="D9" s="8"/>
      <c r="E9" s="8"/>
      <c r="F9" s="8"/>
      <c r="G9" s="8"/>
      <c r="H9" s="8"/>
      <c r="I9" s="8"/>
      <c r="J9" s="8"/>
      <c r="K9" s="8"/>
      <c r="L9" s="8"/>
      <c r="M9" s="8"/>
      <c r="N9" s="8"/>
      <c r="O9" s="8"/>
      <c r="P9" s="8"/>
      <c r="Q9" s="8"/>
      <c r="R9" s="8"/>
      <c r="S9" s="8"/>
    </row>
    <row r="10" spans="1:19" ht="15.75" x14ac:dyDescent="0.25">
      <c r="A10" s="8"/>
      <c r="B10" s="8"/>
      <c r="C10" s="8"/>
      <c r="D10" s="8"/>
      <c r="E10" s="8"/>
      <c r="F10" s="8"/>
      <c r="G10" s="8"/>
      <c r="H10" s="8"/>
      <c r="I10" s="8"/>
      <c r="J10" s="8"/>
      <c r="K10" s="8"/>
      <c r="L10" s="8"/>
      <c r="M10" s="8"/>
      <c r="N10" s="8"/>
      <c r="O10" s="8"/>
      <c r="P10" s="8"/>
      <c r="Q10" s="8"/>
      <c r="R10" s="8"/>
      <c r="S10" s="8"/>
    </row>
    <row r="11" spans="1:19" ht="15.75" x14ac:dyDescent="0.25">
      <c r="A11" s="8"/>
      <c r="B11" s="8"/>
      <c r="C11" s="8"/>
      <c r="D11" s="8"/>
      <c r="E11" s="8"/>
      <c r="F11" s="8"/>
      <c r="G11" s="8"/>
      <c r="H11" s="8"/>
      <c r="I11" s="8"/>
      <c r="J11" s="8"/>
      <c r="K11" s="8"/>
      <c r="L11" s="8"/>
      <c r="M11" s="8"/>
      <c r="N11" s="8"/>
      <c r="O11" s="8"/>
      <c r="P11" s="8"/>
      <c r="Q11" s="8"/>
      <c r="R11" s="8"/>
      <c r="S11" s="8"/>
    </row>
    <row r="12" spans="1:19" ht="15.75" x14ac:dyDescent="0.25">
      <c r="A12" s="8"/>
      <c r="B12" s="8"/>
      <c r="C12" s="8"/>
      <c r="D12" s="8"/>
      <c r="E12" s="8"/>
      <c r="F12" s="8"/>
      <c r="G12" s="8"/>
      <c r="H12" s="8"/>
      <c r="I12" s="8"/>
      <c r="J12" s="8"/>
      <c r="K12" s="8"/>
      <c r="L12" s="8"/>
      <c r="M12" s="8"/>
      <c r="N12" s="8"/>
      <c r="O12" s="8"/>
      <c r="P12" s="8"/>
      <c r="Q12" s="8"/>
      <c r="R12" s="8"/>
      <c r="S12" s="8"/>
    </row>
    <row r="13" spans="1:19" ht="15.75" x14ac:dyDescent="0.25">
      <c r="A13" s="8"/>
      <c r="B13" s="8"/>
      <c r="C13" s="8"/>
      <c r="D13" s="8"/>
      <c r="E13" s="8"/>
      <c r="F13" s="8"/>
      <c r="G13" s="8"/>
      <c r="H13" s="8"/>
      <c r="I13" s="8"/>
      <c r="J13" s="8"/>
      <c r="K13" s="8"/>
      <c r="L13" s="8"/>
      <c r="M13" s="8"/>
      <c r="N13" s="8"/>
      <c r="O13" s="8"/>
      <c r="P13" s="8"/>
      <c r="Q13" s="8"/>
      <c r="R13" s="8"/>
      <c r="S13" s="8"/>
    </row>
    <row r="14" spans="1:19" ht="15.75" x14ac:dyDescent="0.25">
      <c r="A14" s="8"/>
      <c r="B14" s="8"/>
      <c r="C14" s="8"/>
      <c r="D14" s="8"/>
      <c r="E14" s="8"/>
      <c r="F14" s="8"/>
      <c r="G14" s="8"/>
      <c r="H14" s="8"/>
      <c r="I14" s="8"/>
      <c r="J14" s="8"/>
      <c r="K14" s="8"/>
      <c r="L14" s="8"/>
      <c r="M14" s="8"/>
      <c r="N14" s="8"/>
      <c r="O14" s="8"/>
      <c r="P14" s="8"/>
      <c r="Q14" s="8"/>
      <c r="R14" s="8"/>
      <c r="S14" s="8"/>
    </row>
    <row r="15" spans="1:19" ht="15.75" x14ac:dyDescent="0.25">
      <c r="A15" s="8"/>
      <c r="B15" s="8"/>
      <c r="C15" s="8"/>
      <c r="D15" s="8"/>
      <c r="E15" s="8"/>
      <c r="F15" s="8"/>
      <c r="G15" s="8"/>
      <c r="H15" s="8"/>
      <c r="I15" s="8"/>
      <c r="J15" s="8"/>
      <c r="K15" s="8"/>
      <c r="L15" s="8"/>
      <c r="M15" s="8"/>
      <c r="N15" s="8"/>
      <c r="O15" s="8"/>
      <c r="P15" s="8"/>
      <c r="Q15" s="8"/>
      <c r="R15" s="8"/>
      <c r="S15" s="8"/>
    </row>
    <row r="16" spans="1:19" ht="15.75" x14ac:dyDescent="0.25">
      <c r="A16" s="8"/>
      <c r="B16" s="8"/>
      <c r="C16" s="8"/>
      <c r="D16" s="8"/>
      <c r="E16" s="8"/>
      <c r="F16" s="8"/>
      <c r="G16" s="8"/>
      <c r="H16" s="8"/>
      <c r="I16" s="8"/>
      <c r="J16" s="8"/>
      <c r="K16" s="8"/>
      <c r="L16" s="8"/>
      <c r="M16" s="8"/>
      <c r="N16" s="8"/>
      <c r="O16" s="8"/>
      <c r="P16" s="8"/>
      <c r="Q16" s="8"/>
      <c r="R16" s="8"/>
      <c r="S16" s="8"/>
    </row>
    <row r="17" spans="1:32" ht="15.75" x14ac:dyDescent="0.25">
      <c r="A17" s="8"/>
      <c r="B17" s="8"/>
      <c r="C17" s="8"/>
      <c r="D17" s="8"/>
      <c r="E17" s="8"/>
      <c r="F17" s="8"/>
      <c r="G17" s="8"/>
      <c r="H17" s="8"/>
      <c r="I17" s="8"/>
      <c r="J17" s="8"/>
      <c r="K17" s="8"/>
      <c r="L17" s="8"/>
      <c r="M17" s="8"/>
      <c r="N17" s="8"/>
      <c r="O17" s="8"/>
      <c r="P17" s="8"/>
      <c r="Q17" s="8"/>
      <c r="R17" s="8"/>
      <c r="S17" s="8"/>
    </row>
    <row r="18" spans="1:32" ht="15.75" x14ac:dyDescent="0.25">
      <c r="A18" s="8"/>
      <c r="B18" s="8"/>
      <c r="C18" s="8"/>
      <c r="D18" s="8"/>
      <c r="E18" s="8"/>
      <c r="F18" s="8"/>
      <c r="G18" s="8"/>
      <c r="H18" s="8"/>
      <c r="I18" s="8"/>
      <c r="J18" s="8"/>
      <c r="K18" s="8"/>
      <c r="L18" s="8"/>
      <c r="M18" s="8"/>
      <c r="N18" s="8"/>
      <c r="O18" s="8"/>
      <c r="P18" s="8"/>
      <c r="Q18" s="8"/>
      <c r="R18" s="8"/>
      <c r="S18" s="8"/>
    </row>
    <row r="19" spans="1:32" ht="15.75" x14ac:dyDescent="0.25">
      <c r="A19" s="8"/>
      <c r="B19" s="8"/>
      <c r="C19" s="8"/>
      <c r="D19" s="8"/>
      <c r="E19" s="8"/>
      <c r="F19" s="8"/>
      <c r="G19" s="8"/>
      <c r="H19" s="8"/>
      <c r="I19" s="8"/>
      <c r="J19" s="8"/>
      <c r="K19" s="8"/>
      <c r="L19" s="8"/>
      <c r="M19" s="8"/>
      <c r="N19" s="8"/>
      <c r="O19" s="8"/>
      <c r="P19" s="8"/>
      <c r="Q19" s="8"/>
      <c r="R19" s="8"/>
      <c r="S19" s="8"/>
    </row>
    <row r="20" spans="1:32" ht="15.75" x14ac:dyDescent="0.25">
      <c r="A20" s="8"/>
      <c r="B20" s="8"/>
      <c r="C20" s="8"/>
      <c r="D20" s="8"/>
      <c r="E20" s="8"/>
      <c r="F20" s="8"/>
      <c r="G20" s="8"/>
      <c r="H20" s="8"/>
      <c r="I20" s="8"/>
      <c r="J20" s="8"/>
      <c r="K20" s="8"/>
      <c r="L20" s="8"/>
      <c r="M20" s="8"/>
      <c r="N20" s="8"/>
      <c r="O20" s="8"/>
      <c r="P20" s="8"/>
      <c r="Q20" s="8"/>
      <c r="R20" s="8"/>
      <c r="S20" s="8"/>
    </row>
    <row r="21" spans="1:32" ht="15.75" x14ac:dyDescent="0.25">
      <c r="A21" s="8"/>
      <c r="B21" s="8"/>
      <c r="C21" s="8"/>
      <c r="D21" s="8"/>
      <c r="E21" s="8"/>
      <c r="F21" s="8"/>
      <c r="G21" s="8"/>
      <c r="H21" s="8"/>
      <c r="I21" s="8"/>
      <c r="J21" s="8"/>
      <c r="K21" s="8"/>
      <c r="L21" s="8"/>
      <c r="M21" s="8"/>
      <c r="N21" s="8"/>
      <c r="O21" s="8"/>
      <c r="P21" s="8"/>
      <c r="Q21" s="8"/>
      <c r="R21" s="8"/>
      <c r="S21" s="8"/>
    </row>
    <row r="22" spans="1:32" ht="15.75" x14ac:dyDescent="0.25">
      <c r="A22" s="8"/>
      <c r="B22" s="8"/>
      <c r="C22" s="8"/>
      <c r="D22" s="8"/>
      <c r="E22" s="8"/>
      <c r="F22" s="8"/>
      <c r="G22" s="8"/>
      <c r="H22" s="8"/>
      <c r="I22" s="8"/>
      <c r="J22" s="8"/>
      <c r="K22" s="8"/>
      <c r="L22" s="8"/>
      <c r="M22" s="8"/>
      <c r="N22" s="8"/>
      <c r="O22" s="8"/>
      <c r="P22" s="8"/>
      <c r="Q22" s="8"/>
      <c r="R22" s="8"/>
      <c r="S22" s="8"/>
    </row>
    <row r="23" spans="1:32" ht="15.75" x14ac:dyDescent="0.25">
      <c r="A23" s="8"/>
      <c r="B23" s="8"/>
      <c r="C23" s="8"/>
      <c r="D23" s="8"/>
      <c r="E23" s="8"/>
      <c r="F23" s="8"/>
      <c r="G23" s="8"/>
      <c r="H23" s="8"/>
      <c r="I23" s="8"/>
      <c r="J23" s="8"/>
      <c r="K23" s="8"/>
      <c r="L23" s="8"/>
      <c r="M23" s="8"/>
      <c r="N23" s="8"/>
      <c r="O23" s="8"/>
      <c r="P23" s="8"/>
      <c r="Q23" s="8"/>
      <c r="R23" s="8"/>
      <c r="S23" s="8"/>
    </row>
    <row r="24" spans="1:32" ht="15.75" x14ac:dyDescent="0.25">
      <c r="A24" s="8"/>
      <c r="B24" s="8"/>
      <c r="C24" s="8"/>
      <c r="D24" s="8"/>
      <c r="E24" s="8"/>
      <c r="F24" s="8"/>
      <c r="G24" s="8"/>
      <c r="H24" s="8"/>
      <c r="I24" s="8"/>
      <c r="J24" s="8"/>
      <c r="K24" s="8"/>
      <c r="L24" s="8"/>
      <c r="M24" s="8"/>
      <c r="N24" s="8"/>
      <c r="O24" s="8"/>
      <c r="P24" s="8"/>
      <c r="Q24" s="8"/>
      <c r="R24" s="8"/>
      <c r="S24" s="8"/>
    </row>
    <row r="25" spans="1:32" ht="15.75" x14ac:dyDescent="0.25">
      <c r="A25" s="8"/>
      <c r="B25" s="8"/>
      <c r="C25" s="8"/>
      <c r="D25" s="8"/>
      <c r="E25" s="8"/>
      <c r="F25" s="8"/>
      <c r="G25" s="8"/>
      <c r="H25" s="8"/>
      <c r="I25" s="8"/>
      <c r="J25" s="8"/>
      <c r="K25" s="8"/>
      <c r="L25" s="8"/>
      <c r="M25" s="8"/>
      <c r="N25" s="8"/>
      <c r="O25" s="8"/>
      <c r="P25" s="8"/>
      <c r="Q25" s="8"/>
      <c r="R25" s="8"/>
      <c r="S25" s="8"/>
    </row>
    <row r="26" spans="1:32" ht="15.75" x14ac:dyDescent="0.25">
      <c r="A26" s="8"/>
      <c r="B26" s="8"/>
      <c r="C26" s="8"/>
      <c r="D26" s="8"/>
      <c r="E26" s="8"/>
      <c r="F26" s="8"/>
      <c r="G26" s="8"/>
      <c r="H26" s="8"/>
      <c r="I26" s="8"/>
      <c r="J26" s="8"/>
      <c r="K26" s="8"/>
      <c r="L26" s="8"/>
      <c r="M26" s="8"/>
      <c r="N26" s="8"/>
      <c r="O26" s="8"/>
      <c r="P26" s="8"/>
      <c r="Q26" s="8"/>
      <c r="R26" s="8"/>
      <c r="S26" s="8"/>
    </row>
    <row r="27" spans="1:32" ht="15.75" x14ac:dyDescent="0.25">
      <c r="A27" s="8"/>
      <c r="B27" s="8"/>
      <c r="C27" s="8"/>
      <c r="D27" s="8"/>
      <c r="E27" s="8"/>
      <c r="F27" s="8"/>
      <c r="G27" s="8"/>
      <c r="H27" s="8"/>
      <c r="I27" s="8"/>
      <c r="J27" s="8"/>
      <c r="K27" s="8"/>
      <c r="L27" s="8"/>
      <c r="M27" s="8"/>
      <c r="N27" s="8"/>
      <c r="O27" s="8"/>
      <c r="P27" s="8"/>
      <c r="Q27" s="8"/>
      <c r="R27" s="8"/>
      <c r="S27" s="8"/>
    </row>
    <row r="28" spans="1:32" ht="15.75" x14ac:dyDescent="0.25">
      <c r="A28" s="8"/>
      <c r="B28" s="8"/>
      <c r="C28" s="8"/>
      <c r="D28" s="8"/>
      <c r="E28" s="8"/>
      <c r="F28" s="8"/>
      <c r="G28" s="8"/>
      <c r="H28" s="8"/>
      <c r="I28" s="8"/>
      <c r="J28" s="8"/>
      <c r="K28" s="8"/>
      <c r="L28" s="8"/>
      <c r="M28" s="8"/>
      <c r="N28" s="8"/>
      <c r="O28" s="8"/>
      <c r="P28" s="8"/>
      <c r="Q28" s="8"/>
      <c r="R28" s="8"/>
      <c r="S28" s="8"/>
    </row>
    <row r="29" spans="1:32" ht="15.75" x14ac:dyDescent="0.25">
      <c r="A29" s="8"/>
      <c r="B29" s="8"/>
      <c r="C29" s="8"/>
      <c r="D29" s="8"/>
      <c r="E29" s="8"/>
      <c r="F29" s="8"/>
      <c r="G29" s="8"/>
      <c r="H29" s="8"/>
      <c r="I29" s="8"/>
      <c r="J29" s="8"/>
      <c r="K29" s="8"/>
      <c r="L29" s="8"/>
      <c r="M29" s="8"/>
      <c r="N29" s="8"/>
      <c r="O29" s="8"/>
      <c r="P29" s="8"/>
      <c r="Q29" s="8"/>
      <c r="R29" s="8"/>
      <c r="S29" s="8"/>
      <c r="AF29" s="10"/>
    </row>
    <row r="30" spans="1:32" ht="15.75" x14ac:dyDescent="0.25">
      <c r="A30" s="8"/>
      <c r="B30" s="8"/>
      <c r="C30" s="8"/>
      <c r="D30" s="8"/>
      <c r="E30" s="8"/>
      <c r="F30" s="8"/>
      <c r="G30" s="8"/>
      <c r="H30" s="8"/>
      <c r="I30" s="8"/>
      <c r="J30" s="8"/>
      <c r="K30" s="8"/>
      <c r="L30" s="8"/>
      <c r="M30" s="8"/>
      <c r="N30" s="8"/>
      <c r="O30" s="8"/>
      <c r="P30" s="8"/>
      <c r="Q30" s="8"/>
      <c r="R30" s="8"/>
      <c r="S30" s="8"/>
    </row>
    <row r="31" spans="1:32" ht="15.75" x14ac:dyDescent="0.25">
      <c r="A31" s="8"/>
      <c r="B31" s="8"/>
      <c r="C31" s="8"/>
      <c r="D31" s="8"/>
      <c r="E31" s="8"/>
      <c r="F31" s="8"/>
      <c r="G31" s="8"/>
      <c r="H31" s="8"/>
      <c r="I31" s="8"/>
      <c r="J31" s="8"/>
      <c r="K31" s="8"/>
      <c r="L31" s="8"/>
      <c r="M31" s="8"/>
      <c r="N31" s="8"/>
      <c r="O31" s="8"/>
      <c r="P31" s="8"/>
      <c r="Q31" s="8"/>
      <c r="R31" s="8"/>
      <c r="S31" s="8"/>
    </row>
    <row r="32" spans="1:32" ht="15.75" x14ac:dyDescent="0.25">
      <c r="A32" s="8"/>
      <c r="B32" s="8"/>
      <c r="C32" s="8"/>
      <c r="D32" s="8"/>
      <c r="E32" s="8"/>
      <c r="F32" s="8"/>
      <c r="G32" s="8"/>
      <c r="H32" s="8"/>
      <c r="I32" s="8"/>
      <c r="J32" s="8"/>
      <c r="K32" s="8"/>
      <c r="L32" s="8"/>
      <c r="M32" s="8"/>
      <c r="N32" s="8"/>
      <c r="O32" s="8"/>
      <c r="P32" s="8"/>
      <c r="Q32" s="8"/>
      <c r="R32" s="8"/>
      <c r="S32" s="8"/>
    </row>
    <row r="33" spans="1:19" ht="18.75" x14ac:dyDescent="0.3">
      <c r="A33" s="8"/>
      <c r="B33" s="9" t="s">
        <v>41</v>
      </c>
      <c r="C33" s="8"/>
      <c r="D33" s="8"/>
      <c r="E33" s="8"/>
      <c r="F33" s="8"/>
      <c r="G33" s="8"/>
      <c r="H33" s="8"/>
      <c r="I33" s="8"/>
      <c r="J33" s="8"/>
      <c r="K33" s="8"/>
      <c r="L33" s="8"/>
      <c r="M33" s="8"/>
      <c r="N33" s="8"/>
      <c r="O33" s="8"/>
      <c r="P33" s="8"/>
      <c r="Q33" s="8"/>
      <c r="R33" s="8"/>
      <c r="S33" s="8"/>
    </row>
    <row r="34" spans="1:19" ht="15.75" x14ac:dyDescent="0.25">
      <c r="A34" s="8"/>
      <c r="B34" s="8"/>
      <c r="C34" s="8"/>
      <c r="D34" s="8"/>
      <c r="E34" s="8"/>
      <c r="F34" s="8"/>
      <c r="G34" s="8"/>
      <c r="H34" s="8"/>
      <c r="I34" s="8"/>
      <c r="J34" s="8"/>
      <c r="K34" s="8"/>
      <c r="L34" s="8"/>
      <c r="M34" s="8"/>
      <c r="N34" s="8"/>
      <c r="O34" s="8"/>
      <c r="P34" s="8"/>
      <c r="Q34" s="8"/>
      <c r="R34" s="8"/>
      <c r="S34" s="8"/>
    </row>
    <row r="35" spans="1:19" ht="15.75" x14ac:dyDescent="0.25">
      <c r="A35" s="8"/>
      <c r="B35" s="8"/>
      <c r="C35" s="8"/>
      <c r="D35" s="8"/>
      <c r="E35" s="8"/>
      <c r="F35" s="8"/>
      <c r="G35" s="8"/>
      <c r="H35" s="8"/>
      <c r="I35" s="8"/>
      <c r="J35" s="8"/>
      <c r="K35" s="8"/>
      <c r="L35" s="8"/>
      <c r="M35" s="8"/>
      <c r="N35" s="8"/>
      <c r="O35" s="8"/>
      <c r="P35" s="8"/>
      <c r="Q35" s="8"/>
      <c r="R35" s="8"/>
      <c r="S35" s="8"/>
    </row>
    <row r="36" spans="1:19" ht="15.75" x14ac:dyDescent="0.25">
      <c r="A36" s="8"/>
      <c r="B36" s="8"/>
      <c r="C36" s="8"/>
      <c r="D36" s="8"/>
      <c r="E36" s="8"/>
      <c r="F36" s="8"/>
      <c r="G36" s="8"/>
      <c r="H36" s="8"/>
      <c r="I36" s="8"/>
      <c r="J36" s="8"/>
      <c r="K36" s="8"/>
      <c r="L36" s="8"/>
      <c r="M36" s="8"/>
      <c r="N36" s="8"/>
      <c r="O36" s="8"/>
      <c r="P36" s="8"/>
      <c r="Q36" s="8"/>
      <c r="R36" s="8"/>
      <c r="S36"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4F8B-1A27-46D2-86C4-AED9D32E62B3}">
  <dimension ref="A1:AF36"/>
  <sheetViews>
    <sheetView zoomScale="85" zoomScaleNormal="85" workbookViewId="0"/>
  </sheetViews>
  <sheetFormatPr defaultRowHeight="15" x14ac:dyDescent="0.25"/>
  <sheetData>
    <row r="1" spans="1:19" ht="15.75" x14ac:dyDescent="0.25">
      <c r="A1" s="8"/>
      <c r="B1" s="8"/>
      <c r="C1" s="8"/>
      <c r="D1" s="8"/>
      <c r="E1" s="8"/>
      <c r="F1" s="8"/>
      <c r="G1" s="8"/>
      <c r="H1" s="8"/>
      <c r="I1" s="8"/>
      <c r="J1" s="8"/>
      <c r="K1" s="8"/>
      <c r="L1" s="8"/>
      <c r="M1" s="8"/>
      <c r="N1" s="8"/>
      <c r="O1" s="8"/>
      <c r="P1" s="8"/>
      <c r="Q1" s="8"/>
      <c r="R1" s="8"/>
      <c r="S1" s="8"/>
    </row>
    <row r="2" spans="1:19" ht="15.75" x14ac:dyDescent="0.25">
      <c r="A2" s="8"/>
      <c r="B2" s="8"/>
      <c r="C2" s="8"/>
      <c r="D2" s="8"/>
      <c r="E2" s="8"/>
      <c r="F2" s="8"/>
      <c r="G2" s="8"/>
      <c r="H2" s="8"/>
      <c r="I2" s="8"/>
      <c r="J2" s="8"/>
      <c r="K2" s="8"/>
      <c r="L2" s="8"/>
      <c r="M2" s="8"/>
      <c r="N2" s="8"/>
      <c r="O2" s="8"/>
      <c r="P2" s="8"/>
      <c r="Q2" s="8"/>
      <c r="R2" s="8"/>
      <c r="S2" s="8"/>
    </row>
    <row r="3" spans="1:19" ht="15.75" x14ac:dyDescent="0.25">
      <c r="A3" s="8"/>
      <c r="B3" s="8"/>
      <c r="C3" s="8"/>
      <c r="D3" s="8"/>
      <c r="E3" s="8"/>
      <c r="F3" s="8"/>
      <c r="G3" s="8"/>
      <c r="H3" s="8"/>
      <c r="I3" s="8"/>
      <c r="J3" s="8"/>
      <c r="K3" s="8"/>
      <c r="L3" s="8"/>
      <c r="M3" s="8"/>
      <c r="N3" s="8"/>
      <c r="O3" s="8"/>
      <c r="P3" s="8"/>
      <c r="Q3" s="8"/>
      <c r="R3" s="8"/>
      <c r="S3" s="8"/>
    </row>
    <row r="4" spans="1:19" ht="15.75" x14ac:dyDescent="0.25">
      <c r="A4" s="8"/>
      <c r="B4" s="8"/>
      <c r="C4" s="8"/>
      <c r="D4" s="8"/>
      <c r="E4" s="8"/>
      <c r="F4" s="8"/>
      <c r="G4" s="8"/>
      <c r="H4" s="8"/>
      <c r="I4" s="8"/>
      <c r="J4" s="8"/>
      <c r="K4" s="8"/>
      <c r="L4" s="8"/>
      <c r="M4" s="8"/>
      <c r="N4" s="8"/>
      <c r="O4" s="8"/>
      <c r="P4" s="8"/>
      <c r="Q4" s="8"/>
      <c r="R4" s="8"/>
      <c r="S4" s="8"/>
    </row>
    <row r="5" spans="1:19" ht="15.75" x14ac:dyDescent="0.25">
      <c r="A5" s="8"/>
      <c r="B5" s="8"/>
      <c r="C5" s="8"/>
      <c r="D5" s="8"/>
      <c r="E5" s="8"/>
      <c r="F5" s="8"/>
      <c r="G5" s="8"/>
      <c r="H5" s="8"/>
      <c r="I5" s="8"/>
      <c r="J5" s="8"/>
      <c r="K5" s="8"/>
      <c r="L5" s="8"/>
      <c r="M5" s="8"/>
      <c r="N5" s="8"/>
      <c r="O5" s="8"/>
      <c r="P5" s="8"/>
      <c r="Q5" s="8"/>
      <c r="R5" s="8"/>
      <c r="S5" s="8"/>
    </row>
    <row r="6" spans="1:19" ht="15.75" x14ac:dyDescent="0.25">
      <c r="A6" s="8"/>
      <c r="B6" s="8"/>
      <c r="C6" s="8"/>
      <c r="D6" s="8"/>
      <c r="E6" s="8"/>
      <c r="F6" s="8"/>
      <c r="G6" s="8"/>
      <c r="H6" s="8"/>
      <c r="I6" s="8"/>
      <c r="J6" s="8"/>
      <c r="K6" s="8"/>
      <c r="L6" s="8"/>
      <c r="M6" s="8"/>
      <c r="N6" s="8"/>
      <c r="O6" s="8"/>
      <c r="P6" s="8"/>
      <c r="Q6" s="8"/>
      <c r="R6" s="8"/>
      <c r="S6" s="8"/>
    </row>
    <row r="7" spans="1:19" ht="15.75" x14ac:dyDescent="0.25">
      <c r="A7" s="8"/>
      <c r="B7" s="8"/>
      <c r="C7" s="8"/>
      <c r="D7" s="8"/>
      <c r="E7" s="8"/>
      <c r="F7" s="8"/>
      <c r="G7" s="8"/>
      <c r="H7" s="8"/>
      <c r="I7" s="8"/>
      <c r="J7" s="8"/>
      <c r="K7" s="8"/>
      <c r="L7" s="8"/>
      <c r="M7" s="8"/>
      <c r="N7" s="8"/>
      <c r="O7" s="8"/>
      <c r="P7" s="8"/>
      <c r="Q7" s="8"/>
      <c r="R7" s="8"/>
      <c r="S7" s="8"/>
    </row>
    <row r="8" spans="1:19" ht="15.75" x14ac:dyDescent="0.25">
      <c r="A8" s="8"/>
      <c r="B8" s="8"/>
      <c r="C8" s="8"/>
      <c r="D8" s="8"/>
      <c r="E8" s="8"/>
      <c r="F8" s="8"/>
      <c r="G8" s="8"/>
      <c r="H8" s="8"/>
      <c r="I8" s="8"/>
      <c r="J8" s="8"/>
      <c r="K8" s="8"/>
      <c r="L8" s="8"/>
      <c r="M8" s="8"/>
      <c r="N8" s="8"/>
      <c r="O8" s="8"/>
      <c r="P8" s="8"/>
      <c r="Q8" s="8"/>
      <c r="R8" s="8"/>
      <c r="S8" s="8"/>
    </row>
    <row r="9" spans="1:19" ht="15.75" x14ac:dyDescent="0.25">
      <c r="A9" s="8"/>
      <c r="B9" s="8"/>
      <c r="C9" s="8"/>
      <c r="D9" s="8"/>
      <c r="E9" s="8"/>
      <c r="F9" s="8"/>
      <c r="G9" s="8"/>
      <c r="H9" s="8"/>
      <c r="I9" s="8"/>
      <c r="J9" s="8"/>
      <c r="K9" s="8"/>
      <c r="L9" s="8"/>
      <c r="M9" s="8"/>
      <c r="N9" s="8"/>
      <c r="O9" s="8"/>
      <c r="P9" s="8"/>
      <c r="Q9" s="8"/>
      <c r="R9" s="8"/>
      <c r="S9" s="8"/>
    </row>
    <row r="10" spans="1:19" ht="15.75" x14ac:dyDescent="0.25">
      <c r="A10" s="8"/>
      <c r="B10" s="8"/>
      <c r="C10" s="8"/>
      <c r="D10" s="8"/>
      <c r="E10" s="8"/>
      <c r="F10" s="8"/>
      <c r="G10" s="8"/>
      <c r="H10" s="8"/>
      <c r="I10" s="8"/>
      <c r="J10" s="8"/>
      <c r="K10" s="8"/>
      <c r="L10" s="8"/>
      <c r="M10" s="8"/>
      <c r="N10" s="8"/>
      <c r="O10" s="8"/>
      <c r="P10" s="8"/>
      <c r="Q10" s="8"/>
      <c r="R10" s="8"/>
      <c r="S10" s="8"/>
    </row>
    <row r="11" spans="1:19" ht="15.75" x14ac:dyDescent="0.25">
      <c r="A11" s="8"/>
      <c r="B11" s="8"/>
      <c r="C11" s="8"/>
      <c r="D11" s="8"/>
      <c r="E11" s="8"/>
      <c r="F11" s="8"/>
      <c r="G11" s="8"/>
      <c r="H11" s="8"/>
      <c r="I11" s="8"/>
      <c r="J11" s="8"/>
      <c r="K11" s="8"/>
      <c r="L11" s="8"/>
      <c r="M11" s="8"/>
      <c r="N11" s="8"/>
      <c r="O11" s="8"/>
      <c r="P11" s="8"/>
      <c r="Q11" s="8"/>
      <c r="R11" s="8"/>
      <c r="S11" s="8"/>
    </row>
    <row r="12" spans="1:19" ht="15.75" x14ac:dyDescent="0.25">
      <c r="A12" s="8"/>
      <c r="B12" s="8"/>
      <c r="C12" s="8"/>
      <c r="D12" s="8"/>
      <c r="E12" s="8"/>
      <c r="F12" s="8"/>
      <c r="G12" s="8"/>
      <c r="H12" s="8"/>
      <c r="I12" s="8"/>
      <c r="J12" s="8"/>
      <c r="K12" s="8"/>
      <c r="L12" s="8"/>
      <c r="M12" s="8"/>
      <c r="N12" s="8"/>
      <c r="O12" s="8"/>
      <c r="P12" s="8"/>
      <c r="Q12" s="8"/>
      <c r="R12" s="8"/>
      <c r="S12" s="8"/>
    </row>
    <row r="13" spans="1:19" ht="15.75" x14ac:dyDescent="0.25">
      <c r="A13" s="8"/>
      <c r="B13" s="8"/>
      <c r="C13" s="8"/>
      <c r="D13" s="8"/>
      <c r="E13" s="8"/>
      <c r="F13" s="8"/>
      <c r="G13" s="8"/>
      <c r="H13" s="8"/>
      <c r="I13" s="8"/>
      <c r="J13" s="8"/>
      <c r="K13" s="8"/>
      <c r="L13" s="8"/>
      <c r="M13" s="8"/>
      <c r="N13" s="8"/>
      <c r="O13" s="8"/>
      <c r="P13" s="8"/>
      <c r="Q13" s="8"/>
      <c r="R13" s="8"/>
      <c r="S13" s="8"/>
    </row>
    <row r="14" spans="1:19" ht="15.75" x14ac:dyDescent="0.25">
      <c r="A14" s="8"/>
      <c r="B14" s="8"/>
      <c r="C14" s="8"/>
      <c r="D14" s="8"/>
      <c r="E14" s="8"/>
      <c r="F14" s="8"/>
      <c r="G14" s="8"/>
      <c r="H14" s="8"/>
      <c r="I14" s="8"/>
      <c r="J14" s="8"/>
      <c r="K14" s="8"/>
      <c r="L14" s="8"/>
      <c r="M14" s="8"/>
      <c r="N14" s="8"/>
      <c r="O14" s="8"/>
      <c r="P14" s="8"/>
      <c r="Q14" s="8"/>
      <c r="R14" s="8"/>
      <c r="S14" s="8"/>
    </row>
    <row r="15" spans="1:19" ht="15.75" x14ac:dyDescent="0.25">
      <c r="A15" s="8"/>
      <c r="B15" s="8"/>
      <c r="C15" s="8"/>
      <c r="D15" s="8"/>
      <c r="E15" s="8"/>
      <c r="F15" s="8"/>
      <c r="G15" s="8"/>
      <c r="H15" s="8"/>
      <c r="I15" s="8"/>
      <c r="J15" s="8"/>
      <c r="K15" s="8"/>
      <c r="L15" s="8"/>
      <c r="M15" s="8"/>
      <c r="N15" s="8"/>
      <c r="O15" s="8"/>
      <c r="P15" s="8"/>
      <c r="Q15" s="8"/>
      <c r="R15" s="8"/>
      <c r="S15" s="8"/>
    </row>
    <row r="16" spans="1:19" ht="15.75" x14ac:dyDescent="0.25">
      <c r="A16" s="8"/>
      <c r="B16" s="8"/>
      <c r="C16" s="8"/>
      <c r="D16" s="8"/>
      <c r="E16" s="8"/>
      <c r="F16" s="8"/>
      <c r="G16" s="8"/>
      <c r="H16" s="8"/>
      <c r="I16" s="8"/>
      <c r="J16" s="8"/>
      <c r="K16" s="8"/>
      <c r="L16" s="8"/>
      <c r="M16" s="8"/>
      <c r="N16" s="8"/>
      <c r="O16" s="8"/>
      <c r="P16" s="8"/>
      <c r="Q16" s="8"/>
      <c r="R16" s="8"/>
      <c r="S16" s="8"/>
    </row>
    <row r="17" spans="1:32" ht="15.75" x14ac:dyDescent="0.25">
      <c r="A17" s="8"/>
      <c r="B17" s="8"/>
      <c r="C17" s="8"/>
      <c r="D17" s="8"/>
      <c r="E17" s="8"/>
      <c r="F17" s="8"/>
      <c r="G17" s="8"/>
      <c r="H17" s="8"/>
      <c r="I17" s="8"/>
      <c r="J17" s="8"/>
      <c r="K17" s="8"/>
      <c r="L17" s="8"/>
      <c r="M17" s="8"/>
      <c r="N17" s="8"/>
      <c r="O17" s="8"/>
      <c r="P17" s="8"/>
      <c r="Q17" s="8"/>
      <c r="R17" s="8"/>
      <c r="S17" s="8"/>
    </row>
    <row r="18" spans="1:32" ht="15.75" x14ac:dyDescent="0.25">
      <c r="A18" s="8"/>
      <c r="B18" s="8"/>
      <c r="C18" s="8"/>
      <c r="D18" s="8"/>
      <c r="E18" s="8"/>
      <c r="F18" s="8"/>
      <c r="G18" s="8"/>
      <c r="H18" s="8"/>
      <c r="I18" s="8"/>
      <c r="J18" s="8"/>
      <c r="K18" s="8"/>
      <c r="L18" s="8"/>
      <c r="M18" s="8"/>
      <c r="N18" s="8"/>
      <c r="O18" s="8"/>
      <c r="P18" s="8"/>
      <c r="Q18" s="8"/>
      <c r="R18" s="8"/>
      <c r="S18" s="8"/>
    </row>
    <row r="19" spans="1:32" ht="15.75" x14ac:dyDescent="0.25">
      <c r="A19" s="8"/>
      <c r="B19" s="8"/>
      <c r="C19" s="8"/>
      <c r="D19" s="8"/>
      <c r="E19" s="8"/>
      <c r="F19" s="8"/>
      <c r="G19" s="8"/>
      <c r="H19" s="8"/>
      <c r="I19" s="8"/>
      <c r="J19" s="8"/>
      <c r="K19" s="8"/>
      <c r="L19" s="8"/>
      <c r="M19" s="8"/>
      <c r="N19" s="8"/>
      <c r="O19" s="8"/>
      <c r="P19" s="8"/>
      <c r="Q19" s="8"/>
      <c r="R19" s="8"/>
      <c r="S19" s="8"/>
    </row>
    <row r="20" spans="1:32" ht="15.75" x14ac:dyDescent="0.25">
      <c r="A20" s="8"/>
      <c r="B20" s="8"/>
      <c r="C20" s="8"/>
      <c r="D20" s="8"/>
      <c r="E20" s="8"/>
      <c r="F20" s="8"/>
      <c r="G20" s="8"/>
      <c r="H20" s="8"/>
      <c r="I20" s="8"/>
      <c r="J20" s="8"/>
      <c r="K20" s="8"/>
      <c r="L20" s="8"/>
      <c r="M20" s="8"/>
      <c r="N20" s="8"/>
      <c r="O20" s="8"/>
      <c r="P20" s="8"/>
      <c r="Q20" s="8"/>
      <c r="R20" s="8"/>
      <c r="S20" s="8"/>
    </row>
    <row r="21" spans="1:32" ht="15.75" x14ac:dyDescent="0.25">
      <c r="A21" s="8"/>
      <c r="B21" s="8"/>
      <c r="C21" s="8"/>
      <c r="D21" s="8"/>
      <c r="E21" s="8"/>
      <c r="F21" s="8"/>
      <c r="G21" s="8"/>
      <c r="H21" s="8"/>
      <c r="I21" s="8"/>
      <c r="J21" s="8"/>
      <c r="K21" s="8"/>
      <c r="L21" s="8"/>
      <c r="M21" s="8"/>
      <c r="N21" s="8"/>
      <c r="O21" s="8"/>
      <c r="P21" s="8"/>
      <c r="Q21" s="8"/>
      <c r="R21" s="8"/>
      <c r="S21" s="8"/>
    </row>
    <row r="22" spans="1:32" ht="15.75" x14ac:dyDescent="0.25">
      <c r="A22" s="8"/>
      <c r="B22" s="8"/>
      <c r="C22" s="8"/>
      <c r="D22" s="8"/>
      <c r="E22" s="8"/>
      <c r="F22" s="8"/>
      <c r="G22" s="8"/>
      <c r="H22" s="8"/>
      <c r="I22" s="8"/>
      <c r="J22" s="8"/>
      <c r="K22" s="8"/>
      <c r="L22" s="8"/>
      <c r="M22" s="8"/>
      <c r="N22" s="8"/>
      <c r="O22" s="8"/>
      <c r="P22" s="8"/>
      <c r="Q22" s="8"/>
      <c r="R22" s="8"/>
      <c r="S22" s="8"/>
    </row>
    <row r="23" spans="1:32" ht="15.75" x14ac:dyDescent="0.25">
      <c r="A23" s="8"/>
      <c r="B23" s="8"/>
      <c r="C23" s="8"/>
      <c r="D23" s="8"/>
      <c r="E23" s="8"/>
      <c r="F23" s="8"/>
      <c r="G23" s="8"/>
      <c r="H23" s="8"/>
      <c r="I23" s="8"/>
      <c r="J23" s="8"/>
      <c r="K23" s="8"/>
      <c r="L23" s="8"/>
      <c r="M23" s="8"/>
      <c r="N23" s="8"/>
      <c r="O23" s="8"/>
      <c r="P23" s="8"/>
      <c r="Q23" s="8"/>
      <c r="R23" s="8"/>
      <c r="S23" s="8"/>
    </row>
    <row r="24" spans="1:32" ht="15.75" x14ac:dyDescent="0.25">
      <c r="A24" s="8"/>
      <c r="B24" s="8"/>
      <c r="C24" s="8"/>
      <c r="D24" s="8"/>
      <c r="E24" s="8"/>
      <c r="F24" s="8"/>
      <c r="G24" s="8"/>
      <c r="H24" s="8"/>
      <c r="I24" s="8"/>
      <c r="J24" s="8"/>
      <c r="K24" s="8"/>
      <c r="L24" s="8"/>
      <c r="M24" s="8"/>
      <c r="N24" s="8"/>
      <c r="O24" s="8"/>
      <c r="P24" s="8"/>
      <c r="Q24" s="8"/>
      <c r="R24" s="8"/>
      <c r="S24" s="8"/>
    </row>
    <row r="25" spans="1:32" ht="15.75" x14ac:dyDescent="0.25">
      <c r="A25" s="8"/>
      <c r="B25" s="8"/>
      <c r="C25" s="8"/>
      <c r="D25" s="8"/>
      <c r="E25" s="8"/>
      <c r="F25" s="8"/>
      <c r="G25" s="8"/>
      <c r="H25" s="8"/>
      <c r="I25" s="8"/>
      <c r="J25" s="8"/>
      <c r="K25" s="8"/>
      <c r="L25" s="8"/>
      <c r="M25" s="8"/>
      <c r="N25" s="8"/>
      <c r="O25" s="8"/>
      <c r="P25" s="8"/>
      <c r="Q25" s="8"/>
      <c r="R25" s="8"/>
      <c r="S25" s="8"/>
    </row>
    <row r="26" spans="1:32" ht="15.75" x14ac:dyDescent="0.25">
      <c r="A26" s="8"/>
      <c r="B26" s="8"/>
      <c r="C26" s="8"/>
      <c r="D26" s="8"/>
      <c r="E26" s="8"/>
      <c r="F26" s="8"/>
      <c r="G26" s="8"/>
      <c r="H26" s="8"/>
      <c r="I26" s="8"/>
      <c r="J26" s="8"/>
      <c r="K26" s="8"/>
      <c r="L26" s="8"/>
      <c r="M26" s="8"/>
      <c r="N26" s="8"/>
      <c r="O26" s="8"/>
      <c r="P26" s="8"/>
      <c r="Q26" s="8"/>
      <c r="R26" s="8"/>
      <c r="S26" s="8"/>
    </row>
    <row r="27" spans="1:32" ht="15.75" x14ac:dyDescent="0.25">
      <c r="A27" s="8"/>
      <c r="B27" s="8"/>
      <c r="C27" s="8"/>
      <c r="D27" s="8"/>
      <c r="E27" s="8"/>
      <c r="F27" s="8"/>
      <c r="G27" s="8"/>
      <c r="H27" s="8"/>
      <c r="I27" s="8"/>
      <c r="J27" s="8"/>
      <c r="K27" s="8"/>
      <c r="L27" s="8"/>
      <c r="M27" s="8"/>
      <c r="N27" s="8"/>
      <c r="O27" s="8"/>
      <c r="P27" s="8"/>
      <c r="Q27" s="8"/>
      <c r="R27" s="8"/>
      <c r="S27" s="8"/>
    </row>
    <row r="28" spans="1:32" ht="15.75" x14ac:dyDescent="0.25">
      <c r="A28" s="8"/>
      <c r="B28" s="8"/>
      <c r="C28" s="8"/>
      <c r="D28" s="8"/>
      <c r="E28" s="8"/>
      <c r="F28" s="8"/>
      <c r="G28" s="8"/>
      <c r="H28" s="8"/>
      <c r="I28" s="8"/>
      <c r="J28" s="8"/>
      <c r="K28" s="8"/>
      <c r="L28" s="8"/>
      <c r="M28" s="8"/>
      <c r="N28" s="8"/>
      <c r="O28" s="8"/>
      <c r="P28" s="8"/>
      <c r="Q28" s="8"/>
      <c r="R28" s="8"/>
      <c r="S28" s="8"/>
    </row>
    <row r="29" spans="1:32" ht="15.75" x14ac:dyDescent="0.25">
      <c r="A29" s="8"/>
      <c r="B29" s="8"/>
      <c r="C29" s="8"/>
      <c r="D29" s="8"/>
      <c r="E29" s="8"/>
      <c r="F29" s="8"/>
      <c r="G29" s="8"/>
      <c r="H29" s="8"/>
      <c r="I29" s="8"/>
      <c r="J29" s="8"/>
      <c r="K29" s="8"/>
      <c r="L29" s="8"/>
      <c r="M29" s="8"/>
      <c r="N29" s="8"/>
      <c r="O29" s="8"/>
      <c r="P29" s="8"/>
      <c r="Q29" s="8"/>
      <c r="R29" s="8"/>
      <c r="S29" s="8"/>
      <c r="AF29" s="10"/>
    </row>
    <row r="30" spans="1:32" ht="15.75" x14ac:dyDescent="0.25">
      <c r="A30" s="8"/>
      <c r="B30" s="8"/>
      <c r="C30" s="8"/>
      <c r="D30" s="8"/>
      <c r="E30" s="8"/>
      <c r="F30" s="8"/>
      <c r="G30" s="8"/>
      <c r="H30" s="8"/>
      <c r="I30" s="8"/>
      <c r="J30" s="8"/>
      <c r="K30" s="8"/>
      <c r="L30" s="8"/>
      <c r="M30" s="8"/>
      <c r="N30" s="8"/>
      <c r="O30" s="8"/>
      <c r="P30" s="8"/>
      <c r="Q30" s="8"/>
      <c r="R30" s="8"/>
      <c r="S30" s="8"/>
    </row>
    <row r="31" spans="1:32" ht="15.75" x14ac:dyDescent="0.25">
      <c r="A31" s="8"/>
      <c r="B31" s="8"/>
      <c r="C31" s="8"/>
      <c r="D31" s="8"/>
      <c r="E31" s="8"/>
      <c r="F31" s="8"/>
      <c r="G31" s="8"/>
      <c r="H31" s="8"/>
      <c r="I31" s="8"/>
      <c r="J31" s="8"/>
      <c r="K31" s="8"/>
      <c r="L31" s="8"/>
      <c r="M31" s="8"/>
      <c r="N31" s="8"/>
      <c r="O31" s="8"/>
      <c r="P31" s="8"/>
      <c r="Q31" s="8"/>
      <c r="R31" s="8"/>
      <c r="S31" s="8"/>
    </row>
    <row r="32" spans="1:32" ht="15.75" x14ac:dyDescent="0.25">
      <c r="A32" s="8"/>
      <c r="B32" s="8"/>
      <c r="C32" s="8"/>
      <c r="D32" s="8"/>
      <c r="E32" s="8"/>
      <c r="F32" s="8"/>
      <c r="G32" s="8"/>
      <c r="H32" s="8"/>
      <c r="I32" s="8"/>
      <c r="J32" s="8"/>
      <c r="K32" s="8"/>
      <c r="L32" s="8"/>
      <c r="M32" s="8"/>
      <c r="N32" s="8"/>
      <c r="O32" s="8"/>
      <c r="P32" s="8"/>
      <c r="Q32" s="8"/>
      <c r="R32" s="8"/>
      <c r="S32" s="8"/>
    </row>
    <row r="33" spans="1:19" ht="18.75" x14ac:dyDescent="0.3">
      <c r="A33" s="8"/>
      <c r="B33" s="9" t="s">
        <v>43</v>
      </c>
      <c r="C33" s="8"/>
      <c r="D33" s="8"/>
      <c r="E33" s="8"/>
      <c r="F33" s="8"/>
      <c r="G33" s="8"/>
      <c r="H33" s="8"/>
      <c r="I33" s="8"/>
      <c r="J33" s="8"/>
      <c r="K33" s="8"/>
      <c r="L33" s="8"/>
      <c r="M33" s="8"/>
      <c r="N33" s="8"/>
      <c r="O33" s="8"/>
      <c r="P33" s="8"/>
      <c r="Q33" s="8"/>
      <c r="R33" s="8"/>
      <c r="S33" s="8"/>
    </row>
    <row r="34" spans="1:19" ht="15.75" x14ac:dyDescent="0.25">
      <c r="A34" s="8"/>
      <c r="B34" s="8"/>
      <c r="C34" s="8"/>
      <c r="D34" s="8"/>
      <c r="E34" s="8"/>
      <c r="F34" s="8"/>
      <c r="G34" s="8"/>
      <c r="H34" s="8"/>
      <c r="I34" s="8"/>
      <c r="J34" s="8"/>
      <c r="K34" s="8"/>
      <c r="L34" s="8"/>
      <c r="M34" s="8"/>
      <c r="N34" s="8"/>
      <c r="O34" s="8"/>
      <c r="P34" s="8"/>
      <c r="Q34" s="8"/>
      <c r="R34" s="8"/>
      <c r="S34" s="8"/>
    </row>
    <row r="35" spans="1:19" ht="15.75" x14ac:dyDescent="0.25">
      <c r="A35" s="8"/>
      <c r="B35" s="8"/>
      <c r="C35" s="8"/>
      <c r="D35" s="8"/>
      <c r="E35" s="8"/>
      <c r="F35" s="8"/>
      <c r="G35" s="8"/>
      <c r="H35" s="8"/>
      <c r="I35" s="8"/>
      <c r="J35" s="8"/>
      <c r="K35" s="8"/>
      <c r="L35" s="8"/>
      <c r="M35" s="8"/>
      <c r="N35" s="8"/>
      <c r="O35" s="8"/>
      <c r="P35" s="8"/>
      <c r="Q35" s="8"/>
      <c r="R35" s="8"/>
      <c r="S35" s="8"/>
    </row>
    <row r="36" spans="1:19" ht="15.75" x14ac:dyDescent="0.25">
      <c r="A36" s="8"/>
      <c r="B36" s="8"/>
      <c r="C36" s="8"/>
      <c r="D36" s="8"/>
      <c r="E36" s="8"/>
      <c r="F36" s="8"/>
      <c r="G36" s="8"/>
      <c r="H36" s="8"/>
      <c r="I36" s="8"/>
      <c r="J36" s="8"/>
      <c r="K36" s="8"/>
      <c r="L36" s="8"/>
      <c r="M36" s="8"/>
      <c r="N36" s="8"/>
      <c r="O36" s="8"/>
      <c r="P36" s="8"/>
      <c r="Q36" s="8"/>
      <c r="R36" s="8"/>
      <c r="S36"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CBE15935-F198-4AEA-A80D-5B08278AC3AC}">
  <ds:schemaRefs/>
</ds:datastoreItem>
</file>

<file path=customXml/itemProps2.xml><?xml version="1.0" encoding="utf-8"?>
<ds:datastoreItem xmlns:ds="http://schemas.openxmlformats.org/officeDocument/2006/customXml" ds:itemID="{CA25F760-E684-4301-9750-7CEA1FCBB6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 k</dc:creator>
  <cp:lastModifiedBy>suhas k</cp:lastModifiedBy>
  <dcterms:created xsi:type="dcterms:W3CDTF">2025-07-01T12:57:33Z</dcterms:created>
  <dcterms:modified xsi:type="dcterms:W3CDTF">2025-07-04T15:58:41Z</dcterms:modified>
</cp:coreProperties>
</file>